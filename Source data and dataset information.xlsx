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 科研工作\100 实验\200 投稿中-机器学习\写作\20260803_WR Major revision\Dataset - 副本\"/>
    </mc:Choice>
  </mc:AlternateContent>
  <xr:revisionPtr revIDLastSave="0" documentId="13_ncr:1_{463EE407-84B0-472E-AC02-96BF2E08FB92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Source data" sheetId="2" r:id="rId1"/>
    <sheet name="Dataset informa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2" i="2"/>
</calcChain>
</file>

<file path=xl/sharedStrings.xml><?xml version="1.0" encoding="utf-8"?>
<sst xmlns="http://schemas.openxmlformats.org/spreadsheetml/2006/main" count="4953" uniqueCount="1406">
  <si>
    <t>No.</t>
  </si>
  <si>
    <t>SMILES</t>
  </si>
  <si>
    <t>Data set</t>
    <phoneticPr fontId="2" type="noConversion"/>
  </si>
  <si>
    <r>
      <t>O</t>
    </r>
    <r>
      <rPr>
        <b/>
        <vertAlign val="subscript"/>
        <sz val="12"/>
        <rFont val="Times New Roman"/>
        <family val="1"/>
      </rPr>
      <t>3</t>
    </r>
    <r>
      <rPr>
        <b/>
        <sz val="12"/>
        <rFont val="Times New Roman"/>
        <family val="1"/>
      </rPr>
      <t>-reactive moiety code</t>
    </r>
    <phoneticPr fontId="2" type="noConversion"/>
  </si>
  <si>
    <t>Name</t>
    <phoneticPr fontId="2" type="noConversion"/>
  </si>
  <si>
    <t>ID</t>
    <phoneticPr fontId="2" type="noConversion"/>
  </si>
  <si>
    <t>olefins</t>
  </si>
  <si>
    <t>alkynes</t>
  </si>
  <si>
    <t>neutral amines</t>
  </si>
  <si>
    <t>amine+</t>
  </si>
  <si>
    <t>amides</t>
  </si>
  <si>
    <t>quinolones</t>
  </si>
  <si>
    <t>piperazines</t>
  </si>
  <si>
    <t>phenolates</t>
  </si>
  <si>
    <t>analides</t>
  </si>
  <si>
    <t>imidazoles</t>
  </si>
  <si>
    <t>indoles</t>
  </si>
  <si>
    <t>diaminopyrimidines</t>
  </si>
  <si>
    <t>adenines</t>
  </si>
  <si>
    <t>cytosines</t>
  </si>
  <si>
    <t>guanosines</t>
  </si>
  <si>
    <t>uracils</t>
  </si>
  <si>
    <t>other nitrogen-containing aromatic rings</t>
  </si>
  <si>
    <t>isoxazoles</t>
  </si>
  <si>
    <t>triazines</t>
  </si>
  <si>
    <t>benzotriazoles</t>
  </si>
  <si>
    <t>benzenes</t>
  </si>
  <si>
    <t>thiols</t>
  </si>
  <si>
    <t>sulfides</t>
  </si>
  <si>
    <t>sulfoxides</t>
  </si>
  <si>
    <t>1-acetyl-1-cyclohexene</t>
  </si>
  <si>
    <t>CC(=O)C1=CCCCC1</t>
  </si>
  <si>
    <t>Test</t>
  </si>
  <si>
    <t>acrylamide (0)</t>
  </si>
  <si>
    <t>acrylamide</t>
  </si>
  <si>
    <t>C=CC(N)=O</t>
  </si>
  <si>
    <t>Training</t>
  </si>
  <si>
    <t>acrylic acid (0)</t>
  </si>
  <si>
    <t>acrylic acid</t>
  </si>
  <si>
    <t>C=CC(=O)O</t>
  </si>
  <si>
    <t>acrylic acid (-1)</t>
  </si>
  <si>
    <t>C=CC(=O)[O-]</t>
  </si>
  <si>
    <t>acrylonitrile</t>
  </si>
  <si>
    <t>C=CC#N</t>
  </si>
  <si>
    <t>allylbenzene</t>
  </si>
  <si>
    <t>C=CCC1=CC=CC=C1</t>
  </si>
  <si>
    <t>1,4-benzoquinone</t>
  </si>
  <si>
    <t>O=C1C=CC(=O)C=C1</t>
  </si>
  <si>
    <t>cis-2-buten-1,4-dial</t>
  </si>
  <si>
    <t>C(=C\C=O)\C=O</t>
  </si>
  <si>
    <t>trans-2-buten-1,4-dial</t>
  </si>
  <si>
    <t>C(=C/C=O)\C=O</t>
  </si>
  <si>
    <t>cis-2-buten-1,4-diol</t>
  </si>
  <si>
    <t>C(/C=C\CO)O</t>
  </si>
  <si>
    <t>3-buten-1-ol</t>
  </si>
  <si>
    <t>C=CCCO</t>
  </si>
  <si>
    <t>3-buten-2-ol</t>
  </si>
  <si>
    <t>CC(C=C)O</t>
  </si>
  <si>
    <t>β-caryophyllonic acid (0)</t>
  </si>
  <si>
    <t>β-caryophyllonic acid</t>
  </si>
  <si>
    <t>CC1(C[C@@H]([C@H]1CCC(=O)C)C(=C)CCC(=O)O)C</t>
  </si>
  <si>
    <t>chlordane</t>
  </si>
  <si>
    <t>C1C2C(C(C1Cl)Cl)C3(C(=C(C2(C3(Cl)Cl)Cl)Cl)Cl)Cl</t>
  </si>
  <si>
    <t>cinnamic acid (0)</t>
  </si>
  <si>
    <t>cinnamic acid</t>
  </si>
  <si>
    <t>C1=CC=C(C=C1)/C=C/C(=O)O</t>
  </si>
  <si>
    <t>cinnamic acid (-1)</t>
  </si>
  <si>
    <t>C1=CC=C(C=C1)/C=C/C(=O)[O-]</t>
  </si>
  <si>
    <t>β-cyclocitral</t>
  </si>
  <si>
    <t>CC1=C(C(CCC1)(C)C)C=O</t>
  </si>
  <si>
    <t>cyclohexene</t>
  </si>
  <si>
    <t>C1=CCCCC1</t>
  </si>
  <si>
    <t>2-cyclopenten-1-one</t>
  </si>
  <si>
    <t>C1CC(=O)C=C1</t>
  </si>
  <si>
    <t>4-cyclopentene-1,3-dione</t>
  </si>
  <si>
    <t>C1C(=O)C=CC1=O</t>
  </si>
  <si>
    <t>1,2-dibromoethene</t>
  </si>
  <si>
    <t>BrC=CBr</t>
  </si>
  <si>
    <t>cis-1,4-dichloro-2-butene</t>
  </si>
  <si>
    <t>C(/C=C\CCl)Cl</t>
  </si>
  <si>
    <t>1,1-dichloroethene</t>
  </si>
  <si>
    <t>C=C(Cl)Cl</t>
  </si>
  <si>
    <t>cis-1,2-dichloroethene</t>
  </si>
  <si>
    <t>C(=C\Cl)\Cl</t>
  </si>
  <si>
    <t>trans-1,2-dichloroethene</t>
  </si>
  <si>
    <t>Cl/C=C/Cl</t>
  </si>
  <si>
    <t>1,1-dichloropropene</t>
  </si>
  <si>
    <t>CC=C(Cl)Cl</t>
  </si>
  <si>
    <t>diethyl vinyl phosphonate</t>
  </si>
  <si>
    <t>CCOP(=O)(OCC)OC=C</t>
  </si>
  <si>
    <t>3,4-dihydroxycinnamic acid (0)</t>
  </si>
  <si>
    <t>3,4-dihydroxycinnamic acid</t>
  </si>
  <si>
    <t>C1=CC(=C(C=C1/C=C/C(=O)O)O)O</t>
  </si>
  <si>
    <t>3,4-dihydroxycinnamic acid (-1)</t>
  </si>
  <si>
    <t>C1=CC(=C(C=C1/C=C/C(=O)[O-])O)O</t>
  </si>
  <si>
    <t>2,5-dimethylfuran</t>
  </si>
  <si>
    <t>CC1=CC=C(O1)C</t>
  </si>
  <si>
    <t>endrin</t>
  </si>
  <si>
    <t>C1[C@@H]2[C@@H]3[C@H]([C@H]1[C@H]4[C@@H]2O4)[C@@]5(C(=C([C@]3(C5(Cl)Cl)Cl)Cl)Cl)Cl</t>
  </si>
  <si>
    <t>ethene</t>
  </si>
  <si>
    <t>C=C</t>
  </si>
  <si>
    <t>fumaric acid (0)</t>
  </si>
  <si>
    <t>fumaric acid</t>
  </si>
  <si>
    <t>C(=C/C(=O)O)\C(=O)O</t>
  </si>
  <si>
    <t>fumaric acid (-1)</t>
  </si>
  <si>
    <t>C(=C/C(=O)[O-])\C(=O)O</t>
  </si>
  <si>
    <t>fumaric acid (-2)</t>
  </si>
  <si>
    <t>C(=C/C(=O)[O-])\C(=O)[O-]</t>
  </si>
  <si>
    <t>furan-2,5-dicarboxylic acid (-2)</t>
  </si>
  <si>
    <t>furan-2,5-dicarboxylic acid</t>
  </si>
  <si>
    <t>C1=C(OC(=C1)C(=O)[O-])C(=O)[O-]</t>
  </si>
  <si>
    <t>furan-3,4-diyldimethanol</t>
  </si>
  <si>
    <t>C1=C(C(=CO1)CO)CO</t>
  </si>
  <si>
    <t>2-furoic acid (-1)</t>
  </si>
  <si>
    <t>2-furoic acid</t>
  </si>
  <si>
    <t>C1=COC(=C1)C(=O)[O-]</t>
  </si>
  <si>
    <t>furosemide (0)</t>
  </si>
  <si>
    <t>furosemide</t>
  </si>
  <si>
    <t>C1=COC(=C1)CNC2=CC(=C(C=C2C(=O)O)S(=O)(=O)N)Cl</t>
  </si>
  <si>
    <t>furfuryl alcohol</t>
  </si>
  <si>
    <t>C1=COC(=C1)CO</t>
  </si>
  <si>
    <t>3-(2-furyl) propanoic acid (-1)</t>
  </si>
  <si>
    <t>3-(2-furyl) propanoic acid</t>
  </si>
  <si>
    <t>[O-]C(=O)CCC1=CC=CO1</t>
  </si>
  <si>
    <t>hexachloro-1,3-butadiene</t>
  </si>
  <si>
    <t>C(=C(Cl)Cl)(C(=C(Cl)Cl)Cl)Cl</t>
  </si>
  <si>
    <t>hexachlorocyclopentadiene</t>
  </si>
  <si>
    <t>C1(=C(C(C(=C1Cl)Cl)(Cl)Cl)Cl)Cl</t>
  </si>
  <si>
    <t>cis-3-hexen-1-ol</t>
  </si>
  <si>
    <t>CC/C=C/CCO</t>
  </si>
  <si>
    <t>1-hexene-3-ol</t>
  </si>
  <si>
    <t>CC/C=C\CCO</t>
  </si>
  <si>
    <t>1-hexen-4-ol</t>
  </si>
  <si>
    <t>C=CCC(O)CC</t>
  </si>
  <si>
    <t>2-hexenoic acid (-1)</t>
  </si>
  <si>
    <t>2-hexenoic acid</t>
  </si>
  <si>
    <t>CCC/C=C/C(=O)[O-]</t>
  </si>
  <si>
    <t>β-ionone</t>
  </si>
  <si>
    <t>CC(=O)/C=C/C1=C(C)CCCC1(C)C</t>
  </si>
  <si>
    <t>isoprene</t>
  </si>
  <si>
    <t>CC(=C)C=C</t>
  </si>
  <si>
    <t>limonic acid (0)</t>
  </si>
  <si>
    <t>limonic acid</t>
  </si>
  <si>
    <t>CC(=C)C(CCC(=O)O)CC(=O)O</t>
  </si>
  <si>
    <t>limonic acid (-1)</t>
  </si>
  <si>
    <t>CC(=C)C(CCC(=O)O)CC(=O)[O-]</t>
  </si>
  <si>
    <t>limononic acid (0)</t>
  </si>
  <si>
    <t>limononic acid</t>
  </si>
  <si>
    <t>CC(=C)C(CCC(=O)C)CC(=O)O</t>
  </si>
  <si>
    <t>limononic acid (-1)</t>
  </si>
  <si>
    <t>CC(=C)C(CCC(=O)C)CC(=O)[O-]</t>
  </si>
  <si>
    <t>maleic acid (0)</t>
  </si>
  <si>
    <t>maleic acid</t>
  </si>
  <si>
    <t>C(=C\C(=O)O)\C(=O)O</t>
  </si>
  <si>
    <t>maleic acid (-1)</t>
  </si>
  <si>
    <t>C(=C\C(=O)[O-])\C(=O)O</t>
  </si>
  <si>
    <t>maleic acid (-2)</t>
  </si>
  <si>
    <t>C(=C\C(=O)[O-])\C(=O)[O-]</t>
  </si>
  <si>
    <t>methacrolein</t>
  </si>
  <si>
    <t>CC(=C)C=O</t>
  </si>
  <si>
    <t>methacrylic acid (0)</t>
  </si>
  <si>
    <t>methacrylic acid</t>
  </si>
  <si>
    <t>CC(=C)C(=O)O</t>
  </si>
  <si>
    <t>methacrylic acid (-1)</t>
  </si>
  <si>
    <t>CC(=C)C(=O)[O-]</t>
  </si>
  <si>
    <t>4-methoxy cinnamic acid (0)</t>
  </si>
  <si>
    <t>4-methoxy cinnamic acid</t>
  </si>
  <si>
    <t>COC1=CC=C(C=C1)C=CC(=O)O</t>
  </si>
  <si>
    <t>4-methoxy cinnamic acid (-1)</t>
  </si>
  <si>
    <t>COC1=CC=C(C=C1)C=CC(=O)[O-]</t>
  </si>
  <si>
    <t>3-methoxy-4-hydroxy cinnamic acid (0)</t>
  </si>
  <si>
    <t>3-methoxy-4-hydroxy cinnamic acid</t>
  </si>
  <si>
    <t>COC1=C(C=CC(=C1)C=CC(=O)O)O</t>
  </si>
  <si>
    <t>3-methoxy-4-hydroxy cinnamic acid (-1)</t>
  </si>
  <si>
    <t>COC1=C(C=CC(=C1)C=CC(=O)[O-])O</t>
  </si>
  <si>
    <t>trans-2-methyl-2-butenal</t>
  </si>
  <si>
    <t>C/C=C(\C)/C=O</t>
  </si>
  <si>
    <t>2-methyl-3-furoic acid (-1)</t>
  </si>
  <si>
    <t>2-methyl-3-furoic acid</t>
  </si>
  <si>
    <t>CC1=C(C=CO1)C(=O)[O-]</t>
  </si>
  <si>
    <t>methyl vinyl ketone</t>
  </si>
  <si>
    <t>CC(=O)C=C</t>
  </si>
  <si>
    <t>trans,trans-muconic acid (0)</t>
  </si>
  <si>
    <t>trans,trans-muconic acid</t>
  </si>
  <si>
    <t>C(=C/C(=O)O)\C=C\C(=O)O</t>
  </si>
  <si>
    <t>trans,trans-muconic acid (-1)</t>
  </si>
  <si>
    <t>C(=C/C(=O)[O-])\C=C\C(=O)O</t>
  </si>
  <si>
    <t>trans,trans-muconic acid (-2)</t>
  </si>
  <si>
    <t>C(=C/C(=O)[O-])\C=C\C(=O)[O-]</t>
  </si>
  <si>
    <t>4-nitro-cinnamic acid (-1)</t>
  </si>
  <si>
    <t>4-nitro-cinnamic acid</t>
  </si>
  <si>
    <t>C1=CC(=CC=C1C=CC(=O)O)[N+](=O)[O-]</t>
  </si>
  <si>
    <t>2,6-nonadienal</t>
  </si>
  <si>
    <t>CCC=CCCC=CC=O</t>
  </si>
  <si>
    <t>1,1,2,4,4-pentachloro-1,3-butadiene</t>
  </si>
  <si>
    <t>C(=C(Cl)Cl)C(=C(Cl)Cl)Cl</t>
  </si>
  <si>
    <t>trans-2-pentenal</t>
  </si>
  <si>
    <t>CC/C=C/C=O</t>
  </si>
  <si>
    <t>1-penten-3-one</t>
  </si>
  <si>
    <t>CCC(=O)C=C</t>
  </si>
  <si>
    <t>phenyl vinylsulfonate</t>
  </si>
  <si>
    <t>C=CS(=O)(=O)OC1=CC=CC=C1</t>
  </si>
  <si>
    <t>propene</t>
  </si>
  <si>
    <t>CC=C</t>
  </si>
  <si>
    <t>sorbic acid (0)</t>
  </si>
  <si>
    <t>sorbic acid</t>
  </si>
  <si>
    <t>C/C=C/C=C/C(=O)O</t>
  </si>
  <si>
    <t>sorbic acid (-1)</t>
  </si>
  <si>
    <t>C/C=C/C=C/C(=O)[O-]</t>
  </si>
  <si>
    <t>sorbic alcohol</t>
  </si>
  <si>
    <t>C/C=C/C=C/CO</t>
  </si>
  <si>
    <t>sorbic aldehyde</t>
  </si>
  <si>
    <t>C/C=C/C=C/C=O</t>
  </si>
  <si>
    <t>styrene</t>
  </si>
  <si>
    <t>C=CC1=CC=CC=C1</t>
  </si>
  <si>
    <t>α-terpineol</t>
  </si>
  <si>
    <t>CC1=CCC(CC1)C(C)(C)O</t>
  </si>
  <si>
    <t>1,1,2,3-tetrachloro-1,3-butadiene</t>
  </si>
  <si>
    <t>C=C(C(=C(Cl)Cl)Cl)Cl</t>
  </si>
  <si>
    <t>1,1,4,4-tetrachloro-1,3-butadiene</t>
  </si>
  <si>
    <t>C(=C(Cl)Cl)C=C(Cl)Cl</t>
  </si>
  <si>
    <t>tetrachloroethene</t>
  </si>
  <si>
    <t>C(=C(Cl)Cl)(Cl)Cl</t>
  </si>
  <si>
    <t>tetramethylethene</t>
  </si>
  <si>
    <t>CC(=C(C)C)C</t>
  </si>
  <si>
    <t>trichloroethene</t>
  </si>
  <si>
    <t>C(=C(Cl)Cl)Cl</t>
  </si>
  <si>
    <t>tylosin (+1)</t>
  </si>
  <si>
    <t>tylosin</t>
  </si>
  <si>
    <t>CC[C@@H]1[C@H](/C=C(/C=C/C(=O)[C@@H](C[C@@H]([C@@H]([C@H]([C@@H](CC(=O)O1)O)C)O[C@H]2[C@@H]([C@H]([C@@H]([C@H](O2)C)O[C@H]3C[C@@]([C@H]([C@@H](O3)C)O)(C)O)[NH+](C)C)O)CC=O)C)\C)CO[C@H]4[C@@H]([C@@H]([C@@H]([C@H](O4)C)O)OC)OC</t>
  </si>
  <si>
    <t>vinyl acetate</t>
  </si>
  <si>
    <t>CC(=O)OC=C</t>
  </si>
  <si>
    <t>vinyl bromide</t>
  </si>
  <si>
    <t>C=CBr</t>
  </si>
  <si>
    <t>vinyl chloride</t>
  </si>
  <si>
    <t>C=CCl</t>
  </si>
  <si>
    <t>vinyl phosphonic acid (0)</t>
  </si>
  <si>
    <t>vinyl phosphonic acid</t>
  </si>
  <si>
    <t>C=CP(=O)(O)O</t>
  </si>
  <si>
    <t>vinyl phosphonic acid (-1)</t>
  </si>
  <si>
    <t>C=CP(=O)([O-])O</t>
  </si>
  <si>
    <t>vinyl phosphonic acid (-2)</t>
  </si>
  <si>
    <t>C=CP(=O)([O-])[O-]</t>
  </si>
  <si>
    <t>vinyl sulfoic acid (-1)</t>
  </si>
  <si>
    <t>vinyl sulfoic acid</t>
  </si>
  <si>
    <t>C=CS(=O)(=O)[O-]</t>
  </si>
  <si>
    <t>vinylene carbonate</t>
  </si>
  <si>
    <t>C1=COC(=O)O1</t>
  </si>
  <si>
    <t>progesterone</t>
  </si>
  <si>
    <t>CC(=O)[C@H]1CC[C@@H]2[C@@]1(CC[C@H]3[C@H]2CCC4=CC(=O)CC[C@]34C)C</t>
  </si>
  <si>
    <t>medroxyprogesterone</t>
  </si>
  <si>
    <t>C[C@H]1C[C@@H]2[C@H](CC[C@]3([C@H]2CC[C@@]3(C(=O)C)O)C)[C@@]4(C1=CC(=O)CC4)C</t>
  </si>
  <si>
    <t>norethindrone</t>
  </si>
  <si>
    <t>C[C@]12CC[C@H]3[C@H]([C@@H]1CC[C@]2(C#C)O)CCC4=CC(=O)CC[C@H]34</t>
  </si>
  <si>
    <t>levonorgestrel</t>
  </si>
  <si>
    <t>CC[C@]12CC[C@H]3[C@H]([C@@H]1CC[C@]2(C#C)O)CCC4=CC(=O)CC[C@H]34</t>
  </si>
  <si>
    <t>microcystin-LR (-2)</t>
  </si>
  <si>
    <t>microcystin-LR</t>
  </si>
  <si>
    <t>C[C@H]1[C@@H](NC(=O)[C@@H](NC(=O)[C@H]([C@@H](NC(=O)[C@@H](NC(=O)[C@H](NC(=O)C(=C)N(C(=O)CC[C@@H](NC1=O)C(=O)[O-])C)C)CC(C)C)C(=O)[O-])C)CCCN=C(N)N)/C=C/C(=C/[C@H](C)[C@H](CC2=CC=CC=C2)OC)/C</t>
  </si>
  <si>
    <t>anatoxin-a (+1)</t>
  </si>
  <si>
    <t>anatoxin-a</t>
  </si>
  <si>
    <t>CC(=O)C1=CCCC2CCC1[NH2+]2</t>
  </si>
  <si>
    <t>tamoxifen (+1)</t>
  </si>
  <si>
    <t>tamoxifen</t>
  </si>
  <si>
    <t>CC/C(=C(\C1=CC=CC=C1)/C2=CC=C(C=C2)OCC[NH+](C)C)/C3=CC=CC=C3</t>
  </si>
  <si>
    <t>toremifene (+1)</t>
  </si>
  <si>
    <t>toremifene</t>
  </si>
  <si>
    <t>C[NH+](C)CCOC1=CC=C(C=C1)/C(=C(/CCCl)\C2=CC=CC=C2)/C3=CC=CC=C3</t>
  </si>
  <si>
    <t>carbamazepine (0)</t>
  </si>
  <si>
    <t>carbamazepine</t>
  </si>
  <si>
    <t>C1=CC=C2C(=C1)C=CC3=CC=CC=C3N2C(=O)N</t>
  </si>
  <si>
    <t>cephalexin (-1)</t>
  </si>
  <si>
    <t>cephalexin</t>
  </si>
  <si>
    <t>CC1=C(N2[C@@H]([C@@H](C2=O)NC(=O)[C@@H](C3=CC=CC=C3)N)SC1)C(=O)[O-]</t>
  </si>
  <si>
    <t>cephalexin (0)</t>
  </si>
  <si>
    <t>CC1=C(N2[C@@H]([C@@H](C2=O)NC(=O)[C@@H](C3=CC=CC=C3)[NH3+])SC1)C(=O)[O-]</t>
  </si>
  <si>
    <t>3-butyn-1-ol</t>
  </si>
  <si>
    <t>C#CCCO</t>
  </si>
  <si>
    <t>3-butynoic acid (0)</t>
  </si>
  <si>
    <t>3-butynoic acid</t>
  </si>
  <si>
    <t>C#CCC(=O)O</t>
  </si>
  <si>
    <t>3-butynoic acid (-1)</t>
  </si>
  <si>
    <t>C#CCC(=O)[O-]</t>
  </si>
  <si>
    <t>2-ethynylbenzaldehyde</t>
  </si>
  <si>
    <t>C#CC1=CC=CC=C1C=O</t>
  </si>
  <si>
    <t>1-ethinyl-1-cyclohexanol</t>
  </si>
  <si>
    <t>C#CC1(CCCCC1)O</t>
  </si>
  <si>
    <t>flumequine (0)</t>
  </si>
  <si>
    <t>flumequine</t>
  </si>
  <si>
    <t>CC1CCC2=C3N1C=C(C(=O)C3=CC(=C2)F)C(=O)O</t>
  </si>
  <si>
    <t>flumequine (-1)</t>
  </si>
  <si>
    <t>CC1CCC2=C3N1C=C(C(=O)C3=CC(=C2)F)C(=O)[O-]</t>
  </si>
  <si>
    <t>ciprofloxacin (-1)</t>
  </si>
  <si>
    <t>ciprofloxacin</t>
  </si>
  <si>
    <t>C1CC1N2C=C(C(=O)C3=CC(=C(C=C32)N4CCNCC4)F)C(=O)[O-]</t>
  </si>
  <si>
    <t>ciprofloxacin (+1)</t>
  </si>
  <si>
    <t>C1CC1N2C=C(C(=O)C3=CC(=C(C=C32)N4CC[NH2+]CC4)F)C(=O)O</t>
  </si>
  <si>
    <t>enrofloxacin (-1)</t>
  </si>
  <si>
    <t>enrofloxacin</t>
  </si>
  <si>
    <t>CCN1CCN(CC1)C2=C(C=C3C(=C2)N(C=C(C3=O)C(=O)[O-])C4CC4)F</t>
  </si>
  <si>
    <t>enrofloxacin (+1)</t>
  </si>
  <si>
    <t>CC[NH+]1CCN(CC1)C2=C(C=C3C(=C2)N(C=C(C3=O)C(=O)O)C4CC4)F</t>
  </si>
  <si>
    <t>levofloxacin (-1)</t>
  </si>
  <si>
    <t>levofloxacin</t>
  </si>
  <si>
    <t>C[C@H]1COC2=C3N1C=C(C(=O)C3=CC(=C2N4CCN(CC4)C)F)C(=O)[O-]</t>
  </si>
  <si>
    <t>levofloxacin (0)</t>
  </si>
  <si>
    <t>C[C@H]1COC2=C3N1C=C(C(=O)C3=CC(=C2N4CC[NH+](CC4)C)F)C(=O)[O-]</t>
  </si>
  <si>
    <t>levofloxacin (+1)</t>
  </si>
  <si>
    <t>C[C@H]1COC2=C3N1C=C(C(=O)C3=CC(=C2N4CC[NH+](CC4)C)F)C(=O)O</t>
  </si>
  <si>
    <t>norfloxacin (-1)</t>
  </si>
  <si>
    <t>norfloxacin</t>
  </si>
  <si>
    <t>CCN1C=C(C(=O)C2=CC(=C(C=C21)N3CCNCC3)F)C(=O)[O-]</t>
  </si>
  <si>
    <t>norfloxacin (0)</t>
  </si>
  <si>
    <t>CCN1C=C(C(=O)C2=CC(=C(C=C21)N3CC[NH2+]CC3)F)C(=O)[O-]</t>
  </si>
  <si>
    <t>norfloxacin (+1)</t>
  </si>
  <si>
    <t>CC[NH+]1C=C(C(=O)C2=CC(=C(C=C21)N3CC[NH2+]CC3)F)C(=O)[O-]</t>
  </si>
  <si>
    <t>ethyl N-piperazine-carboxylate (0)</t>
  </si>
  <si>
    <t>ethyl N-piperazine-carboxylate</t>
  </si>
  <si>
    <t>CCOC(=O)N1CCNCC1</t>
  </si>
  <si>
    <t>ethyl N-piperazine-carboxylate (+1)</t>
  </si>
  <si>
    <t>CCOC(=O)N1CC[NH2+]CC1</t>
  </si>
  <si>
    <t>N-α-acetyllysine (-1)</t>
  </si>
  <si>
    <t>N-α-acetyllysine</t>
  </si>
  <si>
    <t>CC(=O)N[C@@H](CCCCN)C(=O)[O-]</t>
  </si>
  <si>
    <t>N-ε-acetyllysine (-1)</t>
  </si>
  <si>
    <t>N-ε-acetyllysine</t>
  </si>
  <si>
    <t>CC(=O)NCCCC[C@@H](C(=O)[O-])N</t>
  </si>
  <si>
    <t>alanine (-1)</t>
  </si>
  <si>
    <t>alanine</t>
  </si>
  <si>
    <t>CC(C(=O)[O-])N</t>
  </si>
  <si>
    <t>β-Alanine (-1)</t>
  </si>
  <si>
    <t>β-Alanine</t>
  </si>
  <si>
    <t>C(CN)C(=O)[O-]</t>
  </si>
  <si>
    <t>4-aminophenyl methyl sulfone (0)</t>
  </si>
  <si>
    <t>4-aminophenyl methyl sulfone</t>
  </si>
  <si>
    <t>CS(=O)(=O)C1=CC=C(C=C1)N</t>
  </si>
  <si>
    <t>arginine  (-2)</t>
  </si>
  <si>
    <t>arginine</t>
  </si>
  <si>
    <t>C(CC(=O)[O-])C(C(=O)[O-])N</t>
  </si>
  <si>
    <t>asparagine (-1)</t>
  </si>
  <si>
    <t>asparagine</t>
  </si>
  <si>
    <t>C(CC(=O)N)C(C(=O)[O-])N</t>
  </si>
  <si>
    <t>aspartic acid (-2)</t>
  </si>
  <si>
    <t>aspartic acid</t>
  </si>
  <si>
    <t>C([C@@H](C(=O)[O-])N)C(=O)[O-]</t>
  </si>
  <si>
    <t>benzylamine (0)</t>
  </si>
  <si>
    <t>benzylamine</t>
  </si>
  <si>
    <t>C1=CC=C(C=C1)CN</t>
  </si>
  <si>
    <t>butylamine (0)</t>
  </si>
  <si>
    <t>butylamine</t>
  </si>
  <si>
    <t>CCCCN</t>
  </si>
  <si>
    <t>s-butylamine (0)</t>
  </si>
  <si>
    <t>s-butylamine</t>
  </si>
  <si>
    <t>CCC(C)N</t>
  </si>
  <si>
    <t>t-butylamine (0)</t>
  </si>
  <si>
    <t>t-butylamine</t>
  </si>
  <si>
    <t>CC(C)(C)N</t>
  </si>
  <si>
    <t>cyclohexanemethylamine (0)</t>
  </si>
  <si>
    <t>cyclohexanemethylamine</t>
  </si>
  <si>
    <t>C1CCC(CC1)CN</t>
  </si>
  <si>
    <t>cyclohexylamine (0)</t>
  </si>
  <si>
    <t>cyclohexylamine</t>
  </si>
  <si>
    <t>C1CCC(CC1)N</t>
  </si>
  <si>
    <t>ethylamine (0)</t>
  </si>
  <si>
    <t>ethylamine</t>
  </si>
  <si>
    <t>CCN</t>
  </si>
  <si>
    <t>glutamic acid (-2)</t>
  </si>
  <si>
    <t>glutamic acid</t>
  </si>
  <si>
    <t>C(CC(=O)[O-])[C@@H](C(=O)[O-])N</t>
  </si>
  <si>
    <t>glutamine (-1)</t>
  </si>
  <si>
    <t>glutamine</t>
  </si>
  <si>
    <t>C(CC(=O)N)[C@@H](C(=O)[O-])N</t>
  </si>
  <si>
    <t>glycine (-1)</t>
  </si>
  <si>
    <t>glycine</t>
  </si>
  <si>
    <t>C(C(=O)[O-])N</t>
  </si>
  <si>
    <t>hydroxylamine (0)</t>
  </si>
  <si>
    <t>hydroxylamine</t>
  </si>
  <si>
    <t>NO</t>
  </si>
  <si>
    <t>isoleucine (-1)</t>
  </si>
  <si>
    <t>isoleucine</t>
  </si>
  <si>
    <t>CC[C@H](C)[C@@H](C(=O)[O-])N</t>
  </si>
  <si>
    <t>leucine (-1)</t>
  </si>
  <si>
    <t>leucine</t>
  </si>
  <si>
    <t>CC(C)CC(C(=O)[O-])N</t>
  </si>
  <si>
    <t>lysine (0)</t>
  </si>
  <si>
    <t>lysine</t>
  </si>
  <si>
    <t>C(CCN)C[C@@H](C(=O)[O-])[NH3+]</t>
  </si>
  <si>
    <t>methionine sulfone (-1)</t>
  </si>
  <si>
    <t>methionine sulfone</t>
  </si>
  <si>
    <t>CS(=O)(=O)CC[C@@H](C(=O)[O-])N</t>
  </si>
  <si>
    <t>methionine sulfoxide (-1)</t>
  </si>
  <si>
    <t>methionine sulfoxide</t>
  </si>
  <si>
    <t>CS(=O)CC[C@@H](C(=O)[O-])N</t>
  </si>
  <si>
    <t>methylamine (0)</t>
  </si>
  <si>
    <t>methylamine</t>
  </si>
  <si>
    <t>CN</t>
  </si>
  <si>
    <t>valine (-1)</t>
  </si>
  <si>
    <t>valine</t>
  </si>
  <si>
    <t>CC(C)C(C(=O)[O-])N</t>
  </si>
  <si>
    <t>serine (-1)</t>
  </si>
  <si>
    <t>serine</t>
  </si>
  <si>
    <t>C(C(C(=O)[O-])N)O</t>
  </si>
  <si>
    <t>threonine (-1)</t>
  </si>
  <si>
    <t>threonine</t>
  </si>
  <si>
    <t>C[C@H]([C@@H](C(=O)[O-])N)O</t>
  </si>
  <si>
    <t>acebutolol (0)</t>
  </si>
  <si>
    <t>acebutolol</t>
  </si>
  <si>
    <t>CCCC(=O)NC1=CC(=C(C=C1)OCC(CNC(C)C)O)C(=O)C</t>
  </si>
  <si>
    <t>atenolol (0)</t>
  </si>
  <si>
    <t>atenolol</t>
  </si>
  <si>
    <t>CC(C)NCC(COC1=CC=C(C=C1)CC(=O)N)O</t>
  </si>
  <si>
    <t>diethylamine (0)</t>
  </si>
  <si>
    <t>diethylamine</t>
  </si>
  <si>
    <t>CCNCC</t>
  </si>
  <si>
    <t>dimethylamine (0)</t>
  </si>
  <si>
    <t>dimethylamine</t>
  </si>
  <si>
    <t>CNC</t>
  </si>
  <si>
    <t>N-ethylhydroxylamine (0)</t>
  </si>
  <si>
    <t>N-ethylhydroxylamine</t>
  </si>
  <si>
    <t>CCNO</t>
  </si>
  <si>
    <t>iminodiacetic acid (-2)</t>
  </si>
  <si>
    <t>iminodiacetic acid</t>
  </si>
  <si>
    <t>C(C(=O)[O-])NCC(=O)[O-]</t>
  </si>
  <si>
    <t>methylchloramine (0)</t>
  </si>
  <si>
    <t>methylchloramine</t>
  </si>
  <si>
    <t>CNCl</t>
  </si>
  <si>
    <t>metoprolol (0)</t>
  </si>
  <si>
    <t>metoprolol</t>
  </si>
  <si>
    <t>CC(C)NCC(COC1=CC=C(C=C1)CCOC)O</t>
  </si>
  <si>
    <t>morpholine (0)</t>
  </si>
  <si>
    <t>morpholine</t>
  </si>
  <si>
    <t>C1COCCN1</t>
  </si>
  <si>
    <t>proline (-1)</t>
  </si>
  <si>
    <t>proline</t>
  </si>
  <si>
    <t>C1C[C@H](NC1)C(=O)[O-]</t>
  </si>
  <si>
    <t>propranolol (0)</t>
  </si>
  <si>
    <t>propranolol</t>
  </si>
  <si>
    <t>CC(C)NCC(COC1=CC=CC2=CC=CC=C21)O</t>
  </si>
  <si>
    <t>spectinomycin (0)</t>
  </si>
  <si>
    <t>spectinomycin</t>
  </si>
  <si>
    <t>C[C@@H]1CC(=O)[C@]2([C@@H](O1)O[C@@H]3[C@H]([C@@H]([C@@H]([C@@H]([C@H]3O2)NC)O)NC)O)O</t>
  </si>
  <si>
    <t>azithromycin (0)</t>
  </si>
  <si>
    <t>azithromycin</t>
  </si>
  <si>
    <t>CC[C@@H]1[C@@]([C@@H]([C@H](N(C[C@@H](C[C@@]([C@@H]([C@H]([C@@H]([C@H](C(=O)O1)C)O[C@H]2C[C@@]([C@H]([C@@H](O2)C)O)(C)OC)C)O[C@H]3[C@@H]([C@H](C[C@H](O3)C)N(C)C)O)(C)O)C)C)C)O)(C)O</t>
  </si>
  <si>
    <t>N,N-diethylhydroxylamine (0)</t>
  </si>
  <si>
    <t>N,N-diethylhydroxylamine</t>
  </si>
  <si>
    <t>CCN(CC)O</t>
  </si>
  <si>
    <t>roxithromycin (0)</t>
  </si>
  <si>
    <t>roxithromycin</t>
  </si>
  <si>
    <t>CC[C@@H]1[C@@]([C@@H]([C@H](/C(=N/OCOCCOC)/[C@@H](C[C@@]([C@@H]([C@H]([C@@H]([C@H](C(=O)O1)C)O[C@H]2C[C@@]([C@H]([C@@H](O2)C)O)(C)OC)C)O[C@H]3[C@@H]([C@H](C[C@H](O3)C)N(C)C)O)(C)O)C)C)O)(C)O</t>
  </si>
  <si>
    <t>1,4-diazabicyclo[2.2.2]octane (0)</t>
  </si>
  <si>
    <t>1,4-diazabicyclo[2.2.2]octane</t>
  </si>
  <si>
    <t>C1CN2CCN1CC2</t>
  </si>
  <si>
    <t>4-dimethylaminoantipyrine (0)</t>
  </si>
  <si>
    <t>4-dimethylaminoantipyrine</t>
  </si>
  <si>
    <t>CC1=C(C(=O)N(N1C)C2=CC=CC=C2)N(C)C</t>
  </si>
  <si>
    <t>N,N-dimethylcyclohexylamine (0)</t>
  </si>
  <si>
    <t>N,N-dimethylcyclohexylamine</t>
  </si>
  <si>
    <t>CN(C)C1CCCCC1</t>
  </si>
  <si>
    <t>3-(dimethylaminomethyl) indole (0)</t>
  </si>
  <si>
    <t>3-(dimethylaminomethyl) indole</t>
  </si>
  <si>
    <t>CN(C)CC1=CNC2=CC=CC=C21</t>
  </si>
  <si>
    <t>dimethylchloramine (0)</t>
  </si>
  <si>
    <t>dimethylchloramine</t>
  </si>
  <si>
    <t>CN(C)Cl</t>
  </si>
  <si>
    <t>dimethylethanolamine (0)</t>
  </si>
  <si>
    <t>dimethylethanolamine</t>
  </si>
  <si>
    <t>CN(C)CCO</t>
  </si>
  <si>
    <t>ethylenediaminetetraacetic acid (-3)</t>
  </si>
  <si>
    <t>ethylenediaminetetraacetic acid</t>
  </si>
  <si>
    <t>C(CN(CC(=O)[O-])CC(=O)[O-])N(CC(=O)O)CC(=O)[O-]</t>
  </si>
  <si>
    <t>methyldichloramine (0)</t>
  </si>
  <si>
    <t>methyldichloramine</t>
  </si>
  <si>
    <t>CN(Cl)Cl</t>
  </si>
  <si>
    <t>1-methylpyrrolidine (0)</t>
  </si>
  <si>
    <t>1-methylpyrrolidine</t>
  </si>
  <si>
    <t>CN1CCCC1</t>
  </si>
  <si>
    <t>nitrilotriacetic acid (-2)</t>
  </si>
  <si>
    <t>nitrilotriacetic acid</t>
  </si>
  <si>
    <t>C(C(=O)[O-])N(CC(=O)O)CC(=O)[O-]</t>
  </si>
  <si>
    <t>propachlor (0)</t>
  </si>
  <si>
    <t>propachlor</t>
  </si>
  <si>
    <t>CC(C)N(C1=CC=CC=C1)C(=O)CCl</t>
  </si>
  <si>
    <t>tramadol (0)</t>
  </si>
  <si>
    <t>tramadol</t>
  </si>
  <si>
    <t>CN(C)C[C@H]1CCCC[C@@]1(C2=CC(=CC=C2)OC)O</t>
  </si>
  <si>
    <t>triethylamine (0)</t>
  </si>
  <si>
    <t>triethylamine</t>
  </si>
  <si>
    <t>CCN(CC)CC</t>
  </si>
  <si>
    <t>trimethylamine (0)</t>
  </si>
  <si>
    <t>trimethylamine</t>
  </si>
  <si>
    <t>CN(C)C</t>
  </si>
  <si>
    <t>tylosin (0)</t>
  </si>
  <si>
    <t>CC[C@@H]1[C@H](/C=C(/C=C/C(=O)[C@@H](C[C@@H]([C@@H]([C@H]([C@@H](CC(=O)O1)O)C)O[C@H]2[C@@H]([C@H]([C@@H]([C@H](O2)C)O[C@H]3C[C@@]([C@H]([C@@H](O3)C)O)(C)O)N(C)C)O)CC=O)C)\C)CO[C@H]4[C@@H]([C@@H]([C@@H]([C@H](O4)C)O)OC)OC</t>
  </si>
  <si>
    <t>lincomycin (0)</t>
  </si>
  <si>
    <t>lincomycin</t>
  </si>
  <si>
    <t>CCC[C@@H]1C[C@H](N(C1)C)C(=O)N[C@@H]([C@@H]2[C@@H]([C@@H]([C@H]([C@H](O2)SC)O)O)O)[C@@H](C)O</t>
  </si>
  <si>
    <t>arginine (+1)</t>
  </si>
  <si>
    <t>C(C[C@@H](C(=O)[O-])[NH3+])C[NH+]=C(N)N</t>
  </si>
  <si>
    <t>aspartic acid (-1)</t>
  </si>
  <si>
    <t>C([C@@H](C(=O)[O-])[NH3+])C(=O)[O-]</t>
  </si>
  <si>
    <t>cyclohexanemethylamine (+1)</t>
  </si>
  <si>
    <t>C1CCC(CC1)C[NH3+]</t>
  </si>
  <si>
    <t>cyclohexylamine (+1)</t>
  </si>
  <si>
    <t>C1CCC(CC1)[NH3+]</t>
  </si>
  <si>
    <t>glycine (0)</t>
  </si>
  <si>
    <t>C(C(=O)[O-])[NH3+]</t>
  </si>
  <si>
    <t>serine (0)</t>
  </si>
  <si>
    <t>C(C(C(=O)[O-])[NH3+])O</t>
  </si>
  <si>
    <t>benzylamine (+1)</t>
  </si>
  <si>
    <t>C1=CC=C(C=C1)C[NH3+]</t>
  </si>
  <si>
    <t>s-butylamine (+1)</t>
  </si>
  <si>
    <t>CCC(C)[NH3+]</t>
  </si>
  <si>
    <t>t-butylamine (+1)</t>
  </si>
  <si>
    <t>CC(C)(C)[NH3+]</t>
  </si>
  <si>
    <t>glutamic acid (+1)</t>
  </si>
  <si>
    <t>C(CC(=O)[O-])[C@@H](C(=O)[O-])[NH3+]</t>
  </si>
  <si>
    <t>glutamine (0)</t>
  </si>
  <si>
    <t>C(CC(=O)N)[C@@H](C(=O)[O-])[NH3+]</t>
  </si>
  <si>
    <t>isoleucine (0)</t>
  </si>
  <si>
    <t>CC[C@H](C)[C@@H](C(=O)[O-])[NH3+]</t>
  </si>
  <si>
    <t>lysine (+1)</t>
  </si>
  <si>
    <t>C(CC[NH3+])C[C@@H](C(=O)[O-])[NH3+]</t>
  </si>
  <si>
    <t>phenylalanine (0)</t>
  </si>
  <si>
    <t>phenylalanine</t>
  </si>
  <si>
    <t>C1=CC=C(C=C1)CC(C(=O)[O-])[NH3+]</t>
  </si>
  <si>
    <t>propylamine (+1)</t>
  </si>
  <si>
    <t>propylamine</t>
  </si>
  <si>
    <t>CCC[NH3+]</t>
  </si>
  <si>
    <t>threonine (0)</t>
  </si>
  <si>
    <t>C[C@H]([C@@H](C(=O)[O-])[NH3+])O</t>
  </si>
  <si>
    <t>proline (0)</t>
  </si>
  <si>
    <t>C1C[C@H]([NH2+]C1)C(=O)[O-]</t>
  </si>
  <si>
    <t>N,N-dimethylcyclohexylamine (+1)</t>
  </si>
  <si>
    <t>C[NH+](C)C1CCCCC1</t>
  </si>
  <si>
    <t>dimethylethanolamine (+1)</t>
  </si>
  <si>
    <t>C[NH+](C)CCO</t>
  </si>
  <si>
    <t>1-methylpyrrolidine (+1)</t>
  </si>
  <si>
    <t>C[NH+]1CCCC1</t>
  </si>
  <si>
    <t>roxithromycin (+1)</t>
  </si>
  <si>
    <t>CC[C@@H]1[C@@]([C@@H]([C@H](/C(=N/OCOCCOC)/[C@@H](C[C@@]([C@@H]([C@H]([C@@H]([C@H](C(=O)O1)C)O[C@H]2C[C@@]([C@H]([C@@H](O2)C)O)(C)OC)C)O[C@H]3[C@@H]([C@H](C[C@H](O3)C)[NH+](C)C)O)(C)O)C)C)O)(C)O</t>
  </si>
  <si>
    <t>triethylamine (+1)</t>
  </si>
  <si>
    <t>CC[NH+](CC)CC</t>
  </si>
  <si>
    <t>cyclophosphamide (0)</t>
  </si>
  <si>
    <t>cyclophosphamide</t>
  </si>
  <si>
    <t>C1CNP(=O)(OC1)N(CCCl)CCCl</t>
  </si>
  <si>
    <t>dimethylformamide (0)</t>
  </si>
  <si>
    <t>dimethylformamide</t>
  </si>
  <si>
    <t>CN(C)C=O</t>
  </si>
  <si>
    <t>N-methylacetamide (0)</t>
  </si>
  <si>
    <t>N-methylacetamide</t>
  </si>
  <si>
    <t>CC(=O)NC</t>
  </si>
  <si>
    <t>N-nitrosodimethylamine (0)</t>
  </si>
  <si>
    <t>N-nitrosodimethylamine</t>
  </si>
  <si>
    <t>CN(C)N=O</t>
  </si>
  <si>
    <t>alachlor (0)</t>
  </si>
  <si>
    <t>alachlor</t>
  </si>
  <si>
    <t>CCC1=C(C(=CC=C1)CC)N(COC)C(=O)CCl</t>
  </si>
  <si>
    <t>amidotrizoic acid (0)</t>
  </si>
  <si>
    <t>amidotrizoic acid</t>
  </si>
  <si>
    <t>CC(=O)NC1=C(C(=C(C(=C1I)C(=O)O)I)NC(=O)C)I</t>
  </si>
  <si>
    <t>chlorotoluron (0)</t>
  </si>
  <si>
    <t>chlorotoluron</t>
  </si>
  <si>
    <t>CC1=C(C=C(C=C1)NC(=O)N(C)C)Cl</t>
  </si>
  <si>
    <t>diuron  (0)</t>
  </si>
  <si>
    <t>diuron</t>
  </si>
  <si>
    <t>CN(C)C(=O)NC1=CC(=C(C=C1)Cl)Cl</t>
  </si>
  <si>
    <t>iomeprol  (0)</t>
  </si>
  <si>
    <t>iomeprol</t>
  </si>
  <si>
    <t>CN(C1=C(C(=C(C(=C1I)C(=O)NCC(CO)O)I)C(=O)NCC(CO)O)I)C(=O)CO</t>
  </si>
  <si>
    <t>iopamidol  (0)</t>
  </si>
  <si>
    <t>iopamidol</t>
  </si>
  <si>
    <t>C[C@@H](C(=O)NC1=C(C(=C(C(=C1I)C(=O)NC(CO)CO)I)C(=O)NC(CO)CO)I)O</t>
  </si>
  <si>
    <t>iopromide (0)</t>
  </si>
  <si>
    <t>iopromide</t>
  </si>
  <si>
    <t>CN(CC(CO)O)C(=O)C1=C(C(=C(C(=C1I)C(=O)NCC(CO)O)I)NC(=O)COC)I</t>
  </si>
  <si>
    <t>isoproturon (0)</t>
  </si>
  <si>
    <t>isoproturon</t>
  </si>
  <si>
    <t>CC(C)C1=CC=C(C=C1)NC(=O)N(C)C</t>
  </si>
  <si>
    <t>linuron (0)</t>
  </si>
  <si>
    <t>linuron</t>
  </si>
  <si>
    <t>CN(C(=O)NC1=CC(=C(C=C1)Cl)Cl)OC</t>
  </si>
  <si>
    <t>metolachlor (0)</t>
  </si>
  <si>
    <t>metolachlor</t>
  </si>
  <si>
    <t>CCC1=CC=CC(=C1N(C(C)COC)C(=O)CCl)C</t>
  </si>
  <si>
    <t>propachlore (0)</t>
  </si>
  <si>
    <t>propachlore</t>
  </si>
  <si>
    <t>N-acetylhistidine (0)</t>
  </si>
  <si>
    <t>N-acetylhistidine</t>
  </si>
  <si>
    <t>CC(=O)N[C@@H](CC1=CN=CN1)C(=O)O</t>
  </si>
  <si>
    <t>4-methylimidazole (+1)</t>
  </si>
  <si>
    <t>4-methylimidazole</t>
  </si>
  <si>
    <t>CC1=C[NH+]=CN1</t>
  </si>
  <si>
    <t>4-methylimidazole (0)</t>
  </si>
  <si>
    <t>CC1=CN=CN1</t>
  </si>
  <si>
    <t>imidazole (+1)</t>
  </si>
  <si>
    <t>imidazole</t>
  </si>
  <si>
    <t>C1=C[NH+]=CN1</t>
  </si>
  <si>
    <t>imidazole (0)</t>
  </si>
  <si>
    <t>C1=CN=CN1</t>
  </si>
  <si>
    <t>histidine (0)</t>
  </si>
  <si>
    <t>histidine</t>
  </si>
  <si>
    <t>C1=C(NC=N1)C[C@@H](C(=O)[O-])[NH3+]</t>
  </si>
  <si>
    <t>histidine (-1)</t>
  </si>
  <si>
    <t>C1=C(NC=N1)CC(C(=O)[O-])N</t>
  </si>
  <si>
    <t>3-(dimethylaminomethyl) indole (+1)</t>
  </si>
  <si>
    <t>CN(C)CC1=C[NH2+]C2=CC=CC=C21</t>
  </si>
  <si>
    <t>tryptophan (0）</t>
  </si>
  <si>
    <t>C1=CC=C2C(=C1)C(=CN2)C[C@@H](C(=O)[O-])[NH3+]</t>
  </si>
  <si>
    <t>2,4-diamino-5-methylpyrimidine (0）</t>
  </si>
  <si>
    <t>CC1=CN=C(N=C1N)N</t>
  </si>
  <si>
    <t>2,4-diamino-5-methylpyrimidine (+1)</t>
  </si>
  <si>
    <t>2,4-diamino-5-methylpyrimidine</t>
  </si>
  <si>
    <t>CC1=CN=C([NH+]=C1N)N</t>
  </si>
  <si>
    <t>2,4-diamino-5-methylpyrimidine (+2)</t>
  </si>
  <si>
    <t>CC1=C[NH+]=C([NH+]=C1N)N</t>
  </si>
  <si>
    <t>trimethoprim (0)</t>
  </si>
  <si>
    <t>trimethoprim</t>
  </si>
  <si>
    <t>COC1=CC(=CC(=C1OC)OC)CC2=CN=C(N=C2N)N</t>
  </si>
  <si>
    <t>adenine (0)</t>
  </si>
  <si>
    <t>adenine</t>
  </si>
  <si>
    <t>C1=NC2=NC=NC(=C2N1)N</t>
  </si>
  <si>
    <t>adenine (-1)</t>
  </si>
  <si>
    <t>C1=NC2=C(N=CN=C2[N-]1)N</t>
  </si>
  <si>
    <t>1H-9H-adenine (+1)</t>
  </si>
  <si>
    <t>1H-9H-adenine</t>
  </si>
  <si>
    <t>C1=NC2=C(N1)C(=NC=[NH+]2)N</t>
  </si>
  <si>
    <t>adenosine (0)</t>
  </si>
  <si>
    <t>adenosine</t>
  </si>
  <si>
    <t>C1=NC(=C2C(=N1)N(C=N2)[C@H]3[C@@H]([C@@H]([C@H](O3)CO)O)O)N</t>
  </si>
  <si>
    <t>1H-adenosine (+1)</t>
  </si>
  <si>
    <t>1H-adenosine</t>
  </si>
  <si>
    <t>C1=NC(=C2C(=N1)[NH+](C=N2)[C@H]3[C@@H]([C@@H]([C@H](O3)CO)O)O)N</t>
  </si>
  <si>
    <t>5'-adenylic acid (0)</t>
  </si>
  <si>
    <t>5'-adenylic acid</t>
  </si>
  <si>
    <t>C1=NC(=C2C(=N1)N(C=N2)[C@H]3[C@@H]([C@@H]([C@H](O3)COP(=O)(O)O)O)O)N</t>
  </si>
  <si>
    <t>2'-deoxyadenosine (0)</t>
  </si>
  <si>
    <t>2'-deoxyadenosine</t>
  </si>
  <si>
    <t>C1[C@@H]([C@H](O[C@H]1N2C=NC3=C(N=CN=C32)N)CO)O</t>
  </si>
  <si>
    <t>1H-2'-deoxyadenosine (+1)</t>
  </si>
  <si>
    <t>1H-2'-deoxyadenosine</t>
  </si>
  <si>
    <t>C1[C@@H]([C@H](O[C@H]1[NH+]2C=NC3=C(N=CN=C32)N)CO)O</t>
  </si>
  <si>
    <t>cytidine (0)</t>
  </si>
  <si>
    <t>cytidine</t>
  </si>
  <si>
    <t>C1=CN(C(=O)N=C1N)[C@H]2[C@@H]([C@@H]([C@H](O2)CO)O)O</t>
  </si>
  <si>
    <t>cytidine (+1)</t>
  </si>
  <si>
    <t>C1=CN(C(=O)[NH+]=C1N)[C@H]2[C@@H]([C@@H]([C@H](O2)CO)O)O</t>
  </si>
  <si>
    <t>cytosine (-1)</t>
  </si>
  <si>
    <t>cytosine</t>
  </si>
  <si>
    <t>C1=CN=C(N=C1N)[O-]</t>
  </si>
  <si>
    <t>cytosine (0)</t>
  </si>
  <si>
    <t>C1=C(NC(=O)N=C1)N</t>
  </si>
  <si>
    <t>cytosine (+1)</t>
  </si>
  <si>
    <t>C1=C(NC(=O)[NH+]=C1)N</t>
  </si>
  <si>
    <t>5'-deoxycytidylic acid (-1)</t>
  </si>
  <si>
    <t>5'-deoxycytidylic acid</t>
  </si>
  <si>
    <t>C1[C@H]([C@H](O[C@H]1N2C=CC(=NC2=O)N)COP(=O)([O-])[O-])O</t>
  </si>
  <si>
    <t>2'-deoxycytidine (0)</t>
  </si>
  <si>
    <t>2'-deoxycytidine</t>
  </si>
  <si>
    <t>C1[C@@H]([C@H](O[C@H]1N2C=CC(=NC2=O)N)CO)O</t>
  </si>
  <si>
    <t>2'-deoxycytidine (+1)</t>
  </si>
  <si>
    <t>C1[C@@H]([C@H](O[C@H]1N2C=CC(=[NH+]C2=O)N)CO)O</t>
  </si>
  <si>
    <t>acyclovir (-1)</t>
  </si>
  <si>
    <t>acyclovir</t>
  </si>
  <si>
    <t>C1=NC2=C(N1COCCO)N=C(N=C2[O-])N</t>
  </si>
  <si>
    <t>acyclovir (0)</t>
  </si>
  <si>
    <t>C1=NC2=C(N1COCCO)N=C(NC2=O)N</t>
  </si>
  <si>
    <t>acyclovir (+1)</t>
  </si>
  <si>
    <t>C1=[NH+]C2=C(N1COCCO)N=C(NC2=O)N</t>
  </si>
  <si>
    <t>2'-deoxyguanosine (0)</t>
  </si>
  <si>
    <t>2'-deoxyguanosine</t>
  </si>
  <si>
    <t>C1[C@@H]([C@H](O[C@H]1N2C=NC3=C2N=C(NC3=O)N)CO)O</t>
  </si>
  <si>
    <t>1H-5'-deoxyguanylic acid (-1)</t>
  </si>
  <si>
    <t>1H-5'-deoxyguanylic acid</t>
  </si>
  <si>
    <t>C1[C@@H]([C@H](O[C@H]1N2C=NC3=C2N=C(NC3=O)N)COP(=O)([O-])[O-])O</t>
  </si>
  <si>
    <t>guanosine (-1)</t>
  </si>
  <si>
    <t>guanosine</t>
  </si>
  <si>
    <t>C1=NC2=C(N1[C@H]3[C@@H]([C@@H]([C@H](O3)CO)O)O)N=C(N=C2[O-])N</t>
  </si>
  <si>
    <t>guanosine (0)</t>
  </si>
  <si>
    <t>C1=NC2=C(N1[C@H]3[C@@H]([C@@H]([C@H](O3)CO)O)O)N=C(NC2=O)N</t>
  </si>
  <si>
    <t>guanosine (+1)</t>
  </si>
  <si>
    <t>C1=[NH+]C2=C(N1[C@H]3[C@@H]([C@@H]([C@H](O3)CO)O)O)N=C(NC2=O)N</t>
  </si>
  <si>
    <t>5'-thymidylic acid (-1)</t>
  </si>
  <si>
    <t>5'-thymidylic acid</t>
  </si>
  <si>
    <t>CC1=CN(C(=O)NC1=O)[C@H]2C[C@@H]([C@H](O2)COP(=O)([O-])[O-])O</t>
  </si>
  <si>
    <t>thymine (-1)</t>
  </si>
  <si>
    <t>thymine</t>
  </si>
  <si>
    <t>CC1=CN=C(NC1=O)[O-]</t>
  </si>
  <si>
    <t>thymine (0)</t>
  </si>
  <si>
    <t>CC1=CNC(=O)NC1=O</t>
  </si>
  <si>
    <t>thymidine (0)</t>
  </si>
  <si>
    <t>thymidine</t>
  </si>
  <si>
    <t>CC1=CN(C(=O)NC1=O)[C@H]2C[C@@H]([C@H](O2)CO)O</t>
  </si>
  <si>
    <t>5-chlorouracil (-1)</t>
  </si>
  <si>
    <t>5-chlorouracil</t>
  </si>
  <si>
    <t>C1=C(C(=O)NC(=N1)[O-])Cl</t>
  </si>
  <si>
    <t>5-chlorouracil (0)</t>
  </si>
  <si>
    <t>C1=C(C(=O)NC(=O)N1)Cl</t>
  </si>
  <si>
    <t>1H-cylindrospermopsin (-1)</t>
  </si>
  <si>
    <t>1H-cylindrospermopsin</t>
  </si>
  <si>
    <t>C[C@H]1[C@H](C[C@@H]2C[C@@H](NC3=NC[C@H]1N23)[C@H](C4=CC(=O)NC(=N4)[O-])O)OS(=O)(=O)O</t>
  </si>
  <si>
    <t>isoorotic acid (-1)</t>
  </si>
  <si>
    <t>isoorotic acid</t>
  </si>
  <si>
    <t>C1=C(C(=O)NC(=O)N1)C(=O)[O-]</t>
  </si>
  <si>
    <t>1,3-dimethyluracil (0)</t>
  </si>
  <si>
    <t>1,3-dimethyluracil</t>
  </si>
  <si>
    <t>CN1C=CC(=O)N(C1=O)C</t>
  </si>
  <si>
    <t>6-methyluracil (-1)</t>
  </si>
  <si>
    <t>6-methyluracil</t>
  </si>
  <si>
    <t>CC1=CC(=O)NC(=N1)[O-]</t>
  </si>
  <si>
    <t>6-methyluracil (0)</t>
  </si>
  <si>
    <t>CC1=CC(=O)NC(=O)N1</t>
  </si>
  <si>
    <t>orotic acid (-1)</t>
  </si>
  <si>
    <t>orotic acid</t>
  </si>
  <si>
    <t>C1=C(NC(=O)NC1=O)C(=O)[O-]</t>
  </si>
  <si>
    <t>uracil (0)</t>
  </si>
  <si>
    <t>uracil</t>
  </si>
  <si>
    <t>C1=CNC(=O)NC1=O</t>
  </si>
  <si>
    <t>uracil (-1)</t>
  </si>
  <si>
    <t>C1=CN=C(NC1=O)[O-]</t>
  </si>
  <si>
    <t>aniline (0)</t>
  </si>
  <si>
    <t>aniline</t>
  </si>
  <si>
    <t>C1=CC=C(C=C1)N</t>
  </si>
  <si>
    <t>3-chloroaniline (0)</t>
  </si>
  <si>
    <t>3-chloroaniline</t>
  </si>
  <si>
    <t>C1=CC(=CC(=C1)Cl)N</t>
  </si>
  <si>
    <t>4-chloroaniline (0)</t>
  </si>
  <si>
    <t>4-chloroaniline</t>
  </si>
  <si>
    <t>C1=CC(=CC=C1N)Cl</t>
  </si>
  <si>
    <t>diclofenac (-1)</t>
  </si>
  <si>
    <t>diclofenac</t>
  </si>
  <si>
    <t>C1=CC=C(C(=C1)CC(=O)[O-])NC2=C(C=CC=C2Cl)Cl</t>
  </si>
  <si>
    <t xml:space="preserve">2-fluoroaniline (0)  </t>
  </si>
  <si>
    <t>2-fluoroaniline</t>
  </si>
  <si>
    <t>C1=CC=C(C(=C1)N)F</t>
  </si>
  <si>
    <t>3-fluoroaniline (0)</t>
  </si>
  <si>
    <t>3-fluoroaniline</t>
  </si>
  <si>
    <t>C1=CC(=CC(=C1)F)N</t>
  </si>
  <si>
    <t>4-fluoroaniline (0)</t>
  </si>
  <si>
    <t>4-fluoroaniline</t>
  </si>
  <si>
    <t>C1=CC(=CC=C1N)F</t>
  </si>
  <si>
    <t>3-iodoaniline (0)</t>
  </si>
  <si>
    <t>3-iodoaniline</t>
  </si>
  <si>
    <t>C1=CC(=CC(=C1)I)N</t>
  </si>
  <si>
    <t>4-iodoaniline (0)</t>
  </si>
  <si>
    <t>4-iodoaniline</t>
  </si>
  <si>
    <t>C1=CC(=CC=C1N)I</t>
  </si>
  <si>
    <t>2-methoxyaniline (0)</t>
  </si>
  <si>
    <t>2-methoxyaniline</t>
  </si>
  <si>
    <t>COC1=CC=CC=C1N</t>
  </si>
  <si>
    <t>3-methylaniline (0)</t>
  </si>
  <si>
    <t>3-methylaniline</t>
  </si>
  <si>
    <t>CC1=CC(=CC=C1)N</t>
  </si>
  <si>
    <t>4-methylsulfone aniline (0)</t>
  </si>
  <si>
    <t>4-methylsulfone aniline</t>
  </si>
  <si>
    <t>3-nitroaniline (0)</t>
  </si>
  <si>
    <t>3-nitroaniline</t>
  </si>
  <si>
    <t>C1=CC(=CC(=C1)[N+](=O)[O-])N</t>
  </si>
  <si>
    <t>4-nitroaniline (0)</t>
  </si>
  <si>
    <t>4-nitroaniline</t>
  </si>
  <si>
    <t>C1=CC(=CC=C1N)[N+](=O)[O-]</t>
  </si>
  <si>
    <t>sulfamethoxazole (0)</t>
  </si>
  <si>
    <t>sulfamethoxazole</t>
  </si>
  <si>
    <t>CC1=CC(=NO1)NS(=O)(=O)C2=CC=C(C=C2)N</t>
  </si>
  <si>
    <t>sulfamethoxazole (+1)</t>
  </si>
  <si>
    <t>CC1=CC(=NO1)NS(=O)(=O)C2=CC=C(C=C2)[NH3+]</t>
  </si>
  <si>
    <t>N-(4)-acetylsulfamethoxazole (0)</t>
  </si>
  <si>
    <t>N-(4)-acetylsulfamethoxazole</t>
  </si>
  <si>
    <t>CC1=CC(=NO1)NS(=O)(=O)C2=CC=C(C=C2)NC(=O)C</t>
  </si>
  <si>
    <t>N-(4)-acetylsulfamethoxazole (+1)</t>
  </si>
  <si>
    <t>CC1=CC(=NO1)[NH2+]S(=O)(=O)C2=CC=C(C=C2)NC(=O)C</t>
  </si>
  <si>
    <t>3,5-dimethylisoxazole (0)</t>
  </si>
  <si>
    <t>3,5-dimethylisoxazole</t>
  </si>
  <si>
    <t>CC1=CC(=NO1)C</t>
  </si>
  <si>
    <t>azobenzene (0)</t>
  </si>
  <si>
    <t>azobenzene</t>
  </si>
  <si>
    <t>C1=CC=C(C=C1)N=NC2=CC=CC=C2</t>
  </si>
  <si>
    <t>4-dimethylaminoantipyrine (+1)</t>
  </si>
  <si>
    <t>CC1=C(C(=O)[NH+](N1C)C2=CC=CC=C2)N(C)C</t>
  </si>
  <si>
    <t>2-isopropyl-3-methoxypyrazine (0)</t>
  </si>
  <si>
    <t>2-isopropyl-3-methoxypyrazine</t>
  </si>
  <si>
    <t>CC(C)C1=NC=CN=C1OC</t>
  </si>
  <si>
    <t>pyridine (0)</t>
  </si>
  <si>
    <t>pyridine</t>
  </si>
  <si>
    <t>C1=CC=NC=C1</t>
  </si>
  <si>
    <t>pyridine (+1)</t>
  </si>
  <si>
    <t>C1=CC=[NH+]C=C1</t>
  </si>
  <si>
    <t>atrazine (0)</t>
  </si>
  <si>
    <t>atrazine</t>
  </si>
  <si>
    <t>CCNC1=NC(=NC(=N1)Cl)NC(C)C</t>
  </si>
  <si>
    <t>deethylatrazine (0)</t>
  </si>
  <si>
    <t>deethylatrazine</t>
  </si>
  <si>
    <t>CC(C)NC1=NC(=NC(=N1)N)Cl</t>
  </si>
  <si>
    <t>deethyldeisopropylatrazine (0)</t>
  </si>
  <si>
    <t>deethyldeisopropylatrazine</t>
  </si>
  <si>
    <t>C1(=NC(=NC(=N1)Cl)N)N</t>
  </si>
  <si>
    <t>deisopropylatrazine (0)</t>
  </si>
  <si>
    <t>deisopropylatrazine</t>
  </si>
  <si>
    <t>CCNC1=NC(=NC(=N1)N)Cl</t>
  </si>
  <si>
    <t>simazine (0)</t>
  </si>
  <si>
    <t>simazine</t>
  </si>
  <si>
    <t>CCNC1=NC(=NC(=N1)Cl)NCC</t>
  </si>
  <si>
    <t>benzotriazole (0)</t>
  </si>
  <si>
    <t>benzotriazole</t>
  </si>
  <si>
    <t>C1=CC2=NNN=C2C=C1</t>
  </si>
  <si>
    <t>benzotriazole (-1)</t>
  </si>
  <si>
    <t>C1=CC2=N[N-]N=C2C=C1</t>
  </si>
  <si>
    <t>5-chlorobenzotriazole (0)</t>
  </si>
  <si>
    <t>5-chlorobenzotriazole</t>
  </si>
  <si>
    <t>C1=CC2=NNN=C2C=C1Cl</t>
  </si>
  <si>
    <t>5-chlorobenzotriazole (-1)</t>
  </si>
  <si>
    <t>C1=CC2=N[N-]N=C2C=C1Cl</t>
  </si>
  <si>
    <t>5,6-dimethylbenzotriazole (0)</t>
  </si>
  <si>
    <t>5,6-dimethylbenzotriazole</t>
  </si>
  <si>
    <t>CC1=CC2=NNN=C2C=C1C</t>
  </si>
  <si>
    <t>5,6-dimethylbenzotriazole (-1)</t>
  </si>
  <si>
    <t>CC1=CC2=N[N-]N=C2C=C1C</t>
  </si>
  <si>
    <t>5-methylbenzotriazole (0)</t>
  </si>
  <si>
    <t>5-methylbenzotriazole</t>
  </si>
  <si>
    <t>CC1=CC2=NNN=C2C=C1</t>
  </si>
  <si>
    <t>5-methylbenzotriazole (-1)</t>
  </si>
  <si>
    <t>CC1=CC2=N[N-]N=C2C=C1</t>
  </si>
  <si>
    <t>bisphenol A (-1)</t>
  </si>
  <si>
    <t>bisphenol A</t>
  </si>
  <si>
    <t>CC(C)(C1=CC=C(C=C1)O)C2=CC=C(C=C2)[O-]</t>
  </si>
  <si>
    <t>bisphenol A (-2)</t>
  </si>
  <si>
    <t>CC(C)(C1=CC=C(C=C1)[O-])C2=CC=C(C=C2)[O-]</t>
  </si>
  <si>
    <t>2-chlorophenol (-1)</t>
  </si>
  <si>
    <t>2-chlorophenol</t>
  </si>
  <si>
    <t>C1=CC=C(C(=C1)[O-])Cl</t>
  </si>
  <si>
    <t>4-chlorophenol (-1)</t>
  </si>
  <si>
    <t>4-chlorophenol</t>
  </si>
  <si>
    <t>C1=CC(=CC=C1[O-])Cl</t>
  </si>
  <si>
    <t>2,4-dichlorophenol (-1)</t>
  </si>
  <si>
    <t>2,4-dichlorophenol</t>
  </si>
  <si>
    <t>C1=CC(=C(C=C1Cl)Cl)[O-]</t>
  </si>
  <si>
    <t>4-nitrophenol (-1)</t>
  </si>
  <si>
    <t>4-nitrophenol</t>
  </si>
  <si>
    <t>C1=CC(=CC=C1[N+](=O)[O-])O </t>
  </si>
  <si>
    <t>4-N-nonylphenol (-1)</t>
  </si>
  <si>
    <t>4-N-nonylphenol</t>
  </si>
  <si>
    <t>CCCCCCCCCC1=CC=C(C=C1)[O-]</t>
  </si>
  <si>
    <t>4-octylphenol (-1)</t>
  </si>
  <si>
    <t>4-octylphenol</t>
  </si>
  <si>
    <t>CCCCCCCCC1=CC=C(C=C1)[O-]</t>
  </si>
  <si>
    <t>17β-oestradiol (-1)</t>
  </si>
  <si>
    <t>17β-oestradiol</t>
  </si>
  <si>
    <t>C[C@]12CC[C@H]3[C@H]([C@@H]1CC[C@@H]2O)CCC4=C3C=CC(=C4)[O-]</t>
  </si>
  <si>
    <t>oestriol (-1)</t>
  </si>
  <si>
    <t>oestriol</t>
  </si>
  <si>
    <t>C[C@]12CC[C@H]3[C@H]([C@@H]1C[C@H]([C@@H]2O)O)CCC4=C3C=CC(=C4)[O-]</t>
  </si>
  <si>
    <t>oestrone (-1)</t>
  </si>
  <si>
    <t>oestrone</t>
  </si>
  <si>
    <t>C[C@]12CC[C@H]3[C@H]([C@@H]1CCC2=O)CCC4=C3C=CC(=C4)[O-]</t>
  </si>
  <si>
    <t>pentabromophenol (-1)</t>
  </si>
  <si>
    <t>pentabromophenol</t>
  </si>
  <si>
    <t>C1(=C(C(=C(C(=C1Br)Br)Br)Br)Br)[O-]</t>
  </si>
  <si>
    <t>pentachlorophenol (-1)</t>
  </si>
  <si>
    <t>pentachlorophenol</t>
  </si>
  <si>
    <t>C1(=C(C(=C(C(=C1Cl)Cl)Cl)Cl)Cl)[O-]</t>
  </si>
  <si>
    <t>phenol (-1)</t>
  </si>
  <si>
    <t>phenol</t>
  </si>
  <si>
    <t>C1=CC=C(C=C1)[O-]</t>
  </si>
  <si>
    <t>2,4,5-trichlorophenol (-1)</t>
  </si>
  <si>
    <t>2,4,5-trichlorophenol</t>
  </si>
  <si>
    <t>C1=C(C(=CC(=C1Cl)Cl)Cl)[O-]</t>
  </si>
  <si>
    <t>2,4,6-trichlorophenol (-1)</t>
  </si>
  <si>
    <t>2,4,6-trichlorophenol</t>
  </si>
  <si>
    <t>C1=C(C=C(C(=C1Cl)[O-])Cl)Cl</t>
  </si>
  <si>
    <t>triclosan (-1)</t>
  </si>
  <si>
    <t>triclosan</t>
  </si>
  <si>
    <t>C1=CC(=C(C=C1Cl)[O-])OC2=C(C=C(C=C2)Cl)Cl</t>
  </si>
  <si>
    <t>2,4,6-triiodophenol (-1)</t>
  </si>
  <si>
    <t>2,4,6-triiodophenol</t>
  </si>
  <si>
    <t>C1=C(C=C(C(=C1I)[O-])I)I</t>
  </si>
  <si>
    <t>17α-ethinyloestradiol (-1)</t>
  </si>
  <si>
    <t>17α-ethinyloestradiol</t>
  </si>
  <si>
    <t>C[C@]12CC[C@H]3[C@H]([C@@H]1CC[C@]2(C#C)O)CCC4=C3C=CC(=C4)[O-]</t>
  </si>
  <si>
    <t>acetaminophen (0)</t>
  </si>
  <si>
    <t>acetaminophen</t>
  </si>
  <si>
    <t>CC(=O)NC1=CC=C(C=C1)O</t>
  </si>
  <si>
    <t>bisphenol A (0)</t>
  </si>
  <si>
    <t>CC(C)(C1=CC=C(C=C1)O)C2=CC=C(C=C2)O</t>
  </si>
  <si>
    <t>2-carboxyphenol (-1)</t>
  </si>
  <si>
    <t>2-carboxyphenol</t>
  </si>
  <si>
    <t>C1=CC=C(C(=C1)C(=O)[O-])O</t>
  </si>
  <si>
    <t>2-carboxyphenol (0)</t>
  </si>
  <si>
    <t>C1=CC=C(C(=C1)C(=O)O)O</t>
  </si>
  <si>
    <t>2-chlorophenol (0)</t>
  </si>
  <si>
    <t>C1=CC=C(C(=C1)O)Cl</t>
  </si>
  <si>
    <t>4-chlorophenol (0)</t>
  </si>
  <si>
    <t>C1=CC(=CC=C1O)Cl</t>
  </si>
  <si>
    <t>2-cresol (0)</t>
  </si>
  <si>
    <t>2-cresol</t>
  </si>
  <si>
    <t>CC1=CC=CC=C1O</t>
  </si>
  <si>
    <t>3-cresol (0)</t>
  </si>
  <si>
    <t>3-cresol</t>
  </si>
  <si>
    <t>CC1=CC(=CC=C1)O</t>
  </si>
  <si>
    <t>4-cresol (0)</t>
  </si>
  <si>
    <t>4-cresol</t>
  </si>
  <si>
    <t>CC1=CC=C(C=C1)O</t>
  </si>
  <si>
    <t>2,3-dichlorophenol (0)</t>
  </si>
  <si>
    <t>2,3-dichlorophenol</t>
  </si>
  <si>
    <t>C1=CC(=C(C(=C1)Cl)Cl)O</t>
  </si>
  <si>
    <t>2,4-dichlorophenol (0)</t>
  </si>
  <si>
    <t>C1=CC(=C(C=C1Cl)Cl)O</t>
  </si>
  <si>
    <t>2,3-dimethylphenol (0)</t>
  </si>
  <si>
    <t>2,3-dimethylphenol</t>
  </si>
  <si>
    <t>CC1=C(C(=CC=C1)O)C</t>
  </si>
  <si>
    <t>2,4-dimethylphenol (0)</t>
  </si>
  <si>
    <t>2,4-dimethylphenol</t>
  </si>
  <si>
    <t>CC1=CC(=C(C=C1)O)C</t>
  </si>
  <si>
    <t>2,6-dimethylphenol (0)</t>
  </si>
  <si>
    <t>2,6-dimethylphenol</t>
  </si>
  <si>
    <t>CC1=C(C(=CC=C1)C)O</t>
  </si>
  <si>
    <t>3,4-dimethylphenol (0)</t>
  </si>
  <si>
    <t>3,4-dimethylphenol</t>
  </si>
  <si>
    <t>CC1=C(C=C(C=C1)O)C</t>
  </si>
  <si>
    <t>2,6-di-t-butyl-4-methylphenol (0)</t>
  </si>
  <si>
    <t>2,6-di-t-butyl-4-methylphenol</t>
  </si>
  <si>
    <t>CC1=CC(=C(C(=C1)C(C)(C)C)O)C(C)(C)C</t>
  </si>
  <si>
    <t>17α-ethinyloestradiol (0)</t>
  </si>
  <si>
    <t>C[C@]12CC[C@H]3[C@H]([C@@H]1CC[C@]2(C#C)O)CCC4=C3C=CC(=C4)O</t>
  </si>
  <si>
    <t>2-hydroxyphenol (0)</t>
  </si>
  <si>
    <t>2-hydroxyphenol</t>
  </si>
  <si>
    <t>C1=CC=C(C(=C1)O)O</t>
  </si>
  <si>
    <t>3-hydroxyphenol (0)</t>
  </si>
  <si>
    <t>3-hydroxyphenol</t>
  </si>
  <si>
    <t>C1=CC(=CC(=C1)O)O</t>
  </si>
  <si>
    <t>4-hydroxyphenol (0)</t>
  </si>
  <si>
    <t>4-hydroxyphenol</t>
  </si>
  <si>
    <t>C1=CC(=CC=C1O)O</t>
  </si>
  <si>
    <t>4-nitrophenol (0)</t>
  </si>
  <si>
    <t>C1=CC(=CC=C1[N+](=O)[O-])O</t>
  </si>
  <si>
    <t>4-N-nonylphenol (0)</t>
  </si>
  <si>
    <t>CCCCCCCCCC1=CC=C(C=C1)O</t>
  </si>
  <si>
    <t>4-octylphenol (0)</t>
  </si>
  <si>
    <t>CCCCCCCCC1=CC=C(C=C1)O</t>
  </si>
  <si>
    <t>17β-oestradiol (0)</t>
  </si>
  <si>
    <t>C[C@]12CC[C@H]3[C@H]([C@@H]1CC[C@@H]2O)CCC4=C3C=CC(=C4)O</t>
  </si>
  <si>
    <t>oestriol (0)</t>
  </si>
  <si>
    <t>C[C@]12CC[C@H]3[C@H]([C@@H]1C[C@H]([C@@H]2O)O)CCC4=C3C=CC(=C4)O</t>
  </si>
  <si>
    <t>oestrone (0)</t>
  </si>
  <si>
    <t>C[C@]12CC[C@H]3[C@H]([C@@H]1CCC2=O)CCC4=C3C=CC(=C4)O</t>
  </si>
  <si>
    <t>phenol (0)</t>
  </si>
  <si>
    <t>C1=CC=C(C=C1)O</t>
  </si>
  <si>
    <t>2,4,5-trichlorophenol (0)</t>
  </si>
  <si>
    <t>C1=C(C(=CC(=C1Cl)Cl)Cl)O</t>
  </si>
  <si>
    <t>2,4,6-trichlorophenol (0)</t>
  </si>
  <si>
    <t>C1=C(C=C(C(=C1Cl)O)Cl)Cl</t>
  </si>
  <si>
    <t>triclosan (0)</t>
  </si>
  <si>
    <t>C1=CC(=C(C=C1Cl)O)OC2=C(C=C(C=C2)Cl)Cl</t>
  </si>
  <si>
    <t>benzaldehyde</t>
  </si>
  <si>
    <t>C1=CC=C(C=C1)C=O</t>
  </si>
  <si>
    <t>benzene</t>
  </si>
  <si>
    <t>C1=CC=CC=C1</t>
  </si>
  <si>
    <t>benzenesulfonate (-1)</t>
  </si>
  <si>
    <t>benzenesulfonate</t>
  </si>
  <si>
    <t>C1=CC=C(C=C1)S(=O)(=O)[O-]</t>
  </si>
  <si>
    <t>benzoate ion (-1)</t>
  </si>
  <si>
    <t>benzoate ion</t>
  </si>
  <si>
    <t>C1=CC=C(C=C1)C(=O)[O-]</t>
  </si>
  <si>
    <t>chlorobenzene</t>
  </si>
  <si>
    <t>C1=CC=C(C=C1)Cl</t>
  </si>
  <si>
    <t>clofibric acid (-1)</t>
  </si>
  <si>
    <t>clofibric acid</t>
  </si>
  <si>
    <t>CC(C)(C(=O)[O-])OC1=CC=C(C=C1)Cl</t>
  </si>
  <si>
    <t>diazepam (0)</t>
  </si>
  <si>
    <t>diazepam</t>
  </si>
  <si>
    <t>CN1C(=O)CN=C(C2=C1C=CC(=C2)Cl)C3=CC=CC=C3</t>
  </si>
  <si>
    <t xml:space="preserve">1,3-dichlorobenzene </t>
  </si>
  <si>
    <t>1,3-dichlorobenzene</t>
  </si>
  <si>
    <t>C1=CC(=CC(=C1)Cl)Cl</t>
  </si>
  <si>
    <t>1,4-dichlorobenzene</t>
  </si>
  <si>
    <t>C1=CC(=CC=C1Cl)Cl</t>
  </si>
  <si>
    <t>diethyl-o-phthalate</t>
  </si>
  <si>
    <t>CCOC(=O)C1=CC=CC=C1C(=O)OCC</t>
  </si>
  <si>
    <t>dimethyl-o-phthalate</t>
  </si>
  <si>
    <t>COC(=O)C1=CC=CC=C1C(=O)OC</t>
  </si>
  <si>
    <t>2,4-dinitrotoluene</t>
  </si>
  <si>
    <t>CC1=C(C=C(C=C1)[N+](=O)[O-])[N+](=O)[O-]</t>
  </si>
  <si>
    <t>2,6-dinitrotoluene</t>
  </si>
  <si>
    <t>CC1=C(C=CC=C1[N+](=O)[O-])[N+](=O)[O-]</t>
  </si>
  <si>
    <t>ethylbenzene</t>
  </si>
  <si>
    <t>CCC1=CC=CC=C1</t>
  </si>
  <si>
    <t>galaxolid</t>
  </si>
  <si>
    <t>CC1COCC2=CC3=C(C=C12)C(C(C3(C)C)C)(C)C</t>
  </si>
  <si>
    <t>2,2’,4,4’,5,5’-hexachlorobiphenyl</t>
  </si>
  <si>
    <t>C1=C(C(=CC(=C1Cl)Cl)Cl)C2=CC(=C(C=C2Cl)Cl)Cl</t>
  </si>
  <si>
    <t>ibuprofen (0)</t>
  </si>
  <si>
    <t>ibuprofen</t>
  </si>
  <si>
    <t>CC(C)CC1=CC=C(C=C1)C(C)C(=O)O</t>
  </si>
  <si>
    <t>ibuprofen (-1)</t>
  </si>
  <si>
    <t>CC(C)CC1=CC=C(C=C1)C(C)C(=O)[O-]</t>
  </si>
  <si>
    <t>isopropylbenzene</t>
  </si>
  <si>
    <t>CC(C)C1=CC=CC=C1</t>
  </si>
  <si>
    <t>methotrexate (0)</t>
  </si>
  <si>
    <t>methotrexate</t>
  </si>
  <si>
    <t>CN(CC1=CN=C2C(=N1)C(=NC(=N2)N)N)C3=CC=C(C=C3)C(=O)N[C@@H](CCC(=O)O)C(=O)O</t>
  </si>
  <si>
    <t>methylbenzoate</t>
  </si>
  <si>
    <t>COC(=O)C1=CC=CC=C1</t>
  </si>
  <si>
    <t>1-methylnaphthalene</t>
  </si>
  <si>
    <t>CC1=CC=CC2=CC=CC=C12</t>
  </si>
  <si>
    <t xml:space="preserve">naphthalene </t>
  </si>
  <si>
    <t>naphthalene</t>
  </si>
  <si>
    <t>C1=CC=C2C=CC=CC2=C1</t>
  </si>
  <si>
    <t xml:space="preserve">nitrobenzene </t>
  </si>
  <si>
    <t>nitrobenzene</t>
  </si>
  <si>
    <t>C1=CC=C(C=C1)[N+](=O)[O-]</t>
  </si>
  <si>
    <t xml:space="preserve">2,3,3’,5,6-pentachlorobiphenyl </t>
  </si>
  <si>
    <t>2,3,3’,5,6-pentachlorobiphenyl</t>
  </si>
  <si>
    <t>C1=CC(=CC(=C1)Cl)C2=C(C(=CC(=C2Cl)Cl)Cl)Cl</t>
  </si>
  <si>
    <t>quinoline</t>
  </si>
  <si>
    <t>C1=CC=C2C(=C1)C=CC=N2</t>
  </si>
  <si>
    <t>toluene</t>
  </si>
  <si>
    <t>CC1=CC=CC=C1</t>
  </si>
  <si>
    <t>tonalide</t>
  </si>
  <si>
    <t>CC1CC(C2=C(C1(C)C)C=C(C(=C2)C(=O)C)C)(C)C</t>
  </si>
  <si>
    <t xml:space="preserve">1,2,3-trichlorobenzene </t>
  </si>
  <si>
    <t>1,2,3-trichlorobenzene</t>
  </si>
  <si>
    <t>C1=CC(=C(C(=C1)Cl)Cl)Cl</t>
  </si>
  <si>
    <t xml:space="preserve">1,2,4-trimethylbenzene </t>
  </si>
  <si>
    <t>1,2,4-trimethylbenzene</t>
  </si>
  <si>
    <t>CC1=CC(=C(C=C1)C)C</t>
  </si>
  <si>
    <t xml:space="preserve">1,3,5-trimethylbenzene </t>
  </si>
  <si>
    <t>1,3,5-trimethylbenzene</t>
  </si>
  <si>
    <t>CC1=CC(=CC(=C1)C)C</t>
  </si>
  <si>
    <t>m-xylene</t>
  </si>
  <si>
    <t>CC1=CC(=CC=C1)C</t>
  </si>
  <si>
    <t>o-xylene</t>
  </si>
  <si>
    <t>CC1=CC=CC=C1C</t>
  </si>
  <si>
    <t>p-xylene</t>
  </si>
  <si>
    <t>CC1=CC=C(C=C1)C</t>
  </si>
  <si>
    <t xml:space="preserve">acebutolol (+1) </t>
  </si>
  <si>
    <t>CCCC(=O)NC1=CC(=C(C=C1)OCC(C[NH2+]C(C)C)O)C(=O)C</t>
  </si>
  <si>
    <t xml:space="preserve">anisole </t>
  </si>
  <si>
    <t>anisole</t>
  </si>
  <si>
    <t>COC1=CC=CC=C1</t>
  </si>
  <si>
    <t>atenolol (+1)</t>
  </si>
  <si>
    <t>CC(C)[NH2+]CC(COC1=CC=C(C=C1)CC(=O)N)O</t>
  </si>
  <si>
    <t>bezafibrate (-1)</t>
  </si>
  <si>
    <t>bezafibrate</t>
  </si>
  <si>
    <t>CC(C)(C(=O)[O-])OC1=CC=C(C=C1)CCNC(=O)C2=CC=C(C=C2)Cl</t>
  </si>
  <si>
    <t>carbofuran</t>
  </si>
  <si>
    <t>CC1(CC2=C(O1)C(=CC=C2)OC(=O)NC)C</t>
  </si>
  <si>
    <t>2,4-dichlorophenoxyacetic acid</t>
  </si>
  <si>
    <t>C1=CC(=C(C=C1Cl)Cl)OCC(=O)O</t>
  </si>
  <si>
    <t>1,4-dimethoxybenzene</t>
  </si>
  <si>
    <t>COC1=CC=C(C=C1)OC</t>
  </si>
  <si>
    <t>1,2-dimethoxytoluene</t>
  </si>
  <si>
    <t>CC1(C=CC=CC1OC)OC</t>
  </si>
  <si>
    <t>gemfibrozil</t>
  </si>
  <si>
    <t>CC1=CC(=C(C=C1)C)OCCCC(C)(C)C(=O)O</t>
  </si>
  <si>
    <t>methoxybenzene</t>
  </si>
  <si>
    <t xml:space="preserve">methoxychlor </t>
  </si>
  <si>
    <t>methoxychlor</t>
  </si>
  <si>
    <t>COC1=CC=C(C=C1)C(C2=CC=C(C=C2)OC)C(Cl)(Cl)Cl</t>
  </si>
  <si>
    <t>4-methoxy-1-naphthalenesulfonic acid (0)</t>
  </si>
  <si>
    <t>4-methoxy-1-naphthalenesulfonic acid</t>
  </si>
  <si>
    <t>CC1=NC2=CC=CC=C2C(=C1)OS(=O)(=O)C3=CC=C(C4=CC=CC=C43)OC</t>
  </si>
  <si>
    <t>2-methyl-4-chlorophenoxyacetic acid (0)</t>
  </si>
  <si>
    <t>2-methyl-4-chlorophenoxyacetic acid</t>
  </si>
  <si>
    <t>CC1=C(C=CC(=C1)Cl)OCC(=O)O</t>
  </si>
  <si>
    <t>2-methyl-4-chlorophenoxypropionic acid (0)</t>
  </si>
  <si>
    <t>2-methyl-4-chlorophenoxypropionic acid</t>
  </si>
  <si>
    <t>CC1=C(C=CC(=C1)Cl)OC(C)C(=O)O</t>
  </si>
  <si>
    <t>metoprolol (+1)</t>
  </si>
  <si>
    <t>CC(C)[NH2+]CC(COC1=CC=C(C=C1)CCOC)O</t>
  </si>
  <si>
    <t>naproxen (-1)</t>
  </si>
  <si>
    <t>naproxen</t>
  </si>
  <si>
    <t>C[C@@H](C1=CC2=C(C=C1)C=C(C=C2)OC)C(=O)[O-]</t>
  </si>
  <si>
    <t xml:space="preserve">1-phenoxy-2-propanol </t>
  </si>
  <si>
    <t>1-phenoxy-2-propanol</t>
  </si>
  <si>
    <t>CC(COC1=CC=CC=C1)O</t>
  </si>
  <si>
    <t>propanolol (+1)</t>
  </si>
  <si>
    <t>propanolol</t>
  </si>
  <si>
    <t>CC(C)[NH2+]CC(COC1=CC=CC2=CC=CC=C21)O</t>
  </si>
  <si>
    <t>2,4,6-tribromoanisole</t>
  </si>
  <si>
    <t>COC1=C(C=C(C=C1Br)Br)Br</t>
  </si>
  <si>
    <t>2,4,6-trichloroanisole</t>
  </si>
  <si>
    <t>COC1=C(C=C(C=C1Cl)Cl)Cl</t>
  </si>
  <si>
    <t>1,3,5-trimethoxybenzene</t>
  </si>
  <si>
    <t>COC1=CC(=CC(=C1)OC)OC</t>
  </si>
  <si>
    <t>3,4,5-trimethoxytoluene</t>
  </si>
  <si>
    <t>CC1=CC(=C(C(=C1)OC)OC)OC</t>
  </si>
  <si>
    <t>tramadol (+1)</t>
  </si>
  <si>
    <t>C[NH+](C)C[C@H]1CCCC[C@@]1(C2=CC(=CC=C2)OC)O</t>
  </si>
  <si>
    <t>trimethoprim (+1)</t>
  </si>
  <si>
    <t>COC1=CC(=CC(=C1OC)OC)CC2=C[NH+]=C(N=C2N)N</t>
  </si>
  <si>
    <t>trimethoprim (+2)</t>
  </si>
  <si>
    <t>COC1=CC(=CC(=C1OC)OC)CC2=C[NH+]=C([NH+]=C2N)N</t>
  </si>
  <si>
    <t>cysteine (-1)</t>
  </si>
  <si>
    <t>cysteine</t>
  </si>
  <si>
    <t>C([C@@H](C(=O)[O-])N)S</t>
  </si>
  <si>
    <t>cysteine (0)</t>
  </si>
  <si>
    <t>C([C@@H](C(=O)[O-])[NH3+])S</t>
  </si>
  <si>
    <t>glutathione (-2)</t>
  </si>
  <si>
    <t>glutathione</t>
  </si>
  <si>
    <t>C(CC(=O)N[C@@H](CS)C(=O)NCC(=O)[O-])[C@@H](C(=O)[O-])N</t>
  </si>
  <si>
    <t>glutathione (-1)</t>
  </si>
  <si>
    <t>C(CC(=O)N[C@@H](CS)C(=O)NCC(=O)[O-])[C@@H](C(=O)[O-])[NH3+]</t>
  </si>
  <si>
    <t>lincomycin (+1)</t>
  </si>
  <si>
    <t>CCC[C@@H]1C[C@H]([NH+](C1)C)C(=O)N[C@@H]([C@@H]2[C@@H]([C@@H]([C@H]([C@H](O2)SC)O)O)O)[C@@H](C)O</t>
  </si>
  <si>
    <t>methionine (+1)</t>
  </si>
  <si>
    <t>methionine</t>
  </si>
  <si>
    <t>CSCC[C@@H](C(=O)O)[NH3+]</t>
  </si>
  <si>
    <t>molinate (0)</t>
  </si>
  <si>
    <t>molinate</t>
  </si>
  <si>
    <t>CCSC(=O)N1CCCCCC1</t>
  </si>
  <si>
    <t>penicillin G (-1)</t>
  </si>
  <si>
    <t>penicillin G</t>
  </si>
  <si>
    <t>CC1([C@@H](N2[C@H](S1)[C@@H](C2=O)NC(=O)CC3=CC=CC=C3)C(=O)[O-])C</t>
  </si>
  <si>
    <t>penicillin G (0)</t>
  </si>
  <si>
    <t>CC1([C@@H](N2[C@H](S1)[C@@H](C2=O)NC(=O)CC3=CC=CC=C3)C(=O)O)C</t>
  </si>
  <si>
    <t>vydate (0)</t>
  </si>
  <si>
    <t>vydate</t>
  </si>
  <si>
    <t>CNC(=O)ON=C(C(=O)N(C)C)SC</t>
  </si>
  <si>
    <t xml:space="preserve">trans-1,2-dithiane-4,5-diol </t>
  </si>
  <si>
    <t>trans-1,2-dithiane-4,5-diol</t>
  </si>
  <si>
    <t>C1[C@@H]([C@H](CSS1)O)O</t>
  </si>
  <si>
    <t>bis(2-hydroxyethyl) disulfide</t>
  </si>
  <si>
    <t>C(CSSCCO)O</t>
  </si>
  <si>
    <t>dimethyl sulfoxide</t>
  </si>
  <si>
    <t>CS(=O)C</t>
  </si>
  <si>
    <t>methionine sulfoxide (0)</t>
  </si>
  <si>
    <t>CS(=O)CC[C@@H](C(=O)[O-])[NH3+]</t>
  </si>
  <si>
    <t>acetate ion (-1)</t>
  </si>
  <si>
    <t>acetic acid</t>
  </si>
  <si>
    <t>CC(=O)[O-]</t>
  </si>
  <si>
    <t>acetate acid (0)</t>
  </si>
  <si>
    <t>CC(=O)O</t>
  </si>
  <si>
    <t>acetone</t>
  </si>
  <si>
    <t>CC(=O)C</t>
  </si>
  <si>
    <t>bromoform</t>
  </si>
  <si>
    <t>C(Br)(Br)Br</t>
  </si>
  <si>
    <t>1-butanol</t>
  </si>
  <si>
    <t>CCCCO</t>
  </si>
  <si>
    <t>2-butanone</t>
  </si>
  <si>
    <t>CCC(=O)C</t>
  </si>
  <si>
    <t>butyrate ion (-1)</t>
  </si>
  <si>
    <t>butyric acid</t>
  </si>
  <si>
    <t>C(CC(=O)[O-])CO</t>
  </si>
  <si>
    <t>butyric acid (0)</t>
  </si>
  <si>
    <t>CCCC(=O)O</t>
  </si>
  <si>
    <t xml:space="preserve">carbon tetrachloride </t>
  </si>
  <si>
    <t>carbon tetrachloride</t>
  </si>
  <si>
    <t>C(Cl)(Cl)(Cl)Cl</t>
  </si>
  <si>
    <t>chloroform</t>
  </si>
  <si>
    <t>C(Cl)(Cl)Cl</t>
  </si>
  <si>
    <t>cyclopentanol</t>
  </si>
  <si>
    <t>C1CCC(C1)O</t>
  </si>
  <si>
    <t>dichloromethane</t>
  </si>
  <si>
    <t>C(Cl)Cl</t>
  </si>
  <si>
    <t xml:space="preserve">diethyl ether </t>
  </si>
  <si>
    <t>diethyl ether</t>
  </si>
  <si>
    <t>CCOCC</t>
  </si>
  <si>
    <t xml:space="preserve">diethyl malonate </t>
  </si>
  <si>
    <t>diethyl malonate</t>
  </si>
  <si>
    <t>CCOC(=O)CC(=O)OCC</t>
  </si>
  <si>
    <t>1,4-dioxane</t>
  </si>
  <si>
    <t>C1COCCO1</t>
  </si>
  <si>
    <t xml:space="preserve">ethanol </t>
  </si>
  <si>
    <t>ethanol</t>
  </si>
  <si>
    <t>CCO</t>
  </si>
  <si>
    <t xml:space="preserve">formaldehyde </t>
  </si>
  <si>
    <t>formaldehyde</t>
  </si>
  <si>
    <t>C=O</t>
  </si>
  <si>
    <t>formate ion (-1)</t>
  </si>
  <si>
    <t>formate ion</t>
  </si>
  <si>
    <t>C(=O)[O-]</t>
  </si>
  <si>
    <t>geosmin</t>
  </si>
  <si>
    <t>C[C@H]1CCC[C@@]2([C@@]1(CCCC2)O)C</t>
  </si>
  <si>
    <t>glutarate (-1)</t>
  </si>
  <si>
    <t>glutaric acid</t>
  </si>
  <si>
    <t>C(CC(=O)O)CC(=O)[O-]</t>
  </si>
  <si>
    <t>glutaric acid (0)</t>
  </si>
  <si>
    <t>C(CC(=O)O)CC(=O)O</t>
  </si>
  <si>
    <t>glyoxylate ion (-2)</t>
  </si>
  <si>
    <t>glyoxylic acid</t>
  </si>
  <si>
    <t>C(CC(=O)[O-])CC(=O)[O-]</t>
  </si>
  <si>
    <t>glyoxylic acid (0)</t>
  </si>
  <si>
    <t>C(=O)C(=O)O</t>
  </si>
  <si>
    <t>malonate ion (-2)</t>
  </si>
  <si>
    <t>malonic acid</t>
  </si>
  <si>
    <t>C(C(=O)[O-])C(=O)[O-]</t>
  </si>
  <si>
    <t>malonic acid (0)</t>
  </si>
  <si>
    <t>C(C(=O)O)C(=O)O</t>
  </si>
  <si>
    <t>methanol</t>
  </si>
  <si>
    <t>CO</t>
  </si>
  <si>
    <t>2-methylisoborneol</t>
  </si>
  <si>
    <t>C[C@@]12CC[C@@H](C1(C)C)C[C@@]2(C)O</t>
  </si>
  <si>
    <t>nitroethane</t>
  </si>
  <si>
    <t>CC[N+](=O)[O-]</t>
  </si>
  <si>
    <t>octanal</t>
  </si>
  <si>
    <t>CCCCCCCC=O</t>
  </si>
  <si>
    <t xml:space="preserve">1-octanol </t>
  </si>
  <si>
    <t>1-octanol</t>
  </si>
  <si>
    <t>CCCCCCCCO</t>
  </si>
  <si>
    <t>oxalate dianion (-2)</t>
  </si>
  <si>
    <t>oxalate dianion</t>
  </si>
  <si>
    <t>C(=O)(C(=O)[O-])[O-]</t>
  </si>
  <si>
    <t>2-pentanone</t>
  </si>
  <si>
    <t>CCCC(=O)C</t>
  </si>
  <si>
    <t>pivalate ion (-1)</t>
  </si>
  <si>
    <t>pivalic acid</t>
  </si>
  <si>
    <t>CC(C)(C)C(=O)[O-]</t>
  </si>
  <si>
    <t>pivalic acid (0)</t>
  </si>
  <si>
    <t>CC(C)(C)C(=O)O</t>
  </si>
  <si>
    <t xml:space="preserve">propanal </t>
  </si>
  <si>
    <t>propanal</t>
  </si>
  <si>
    <t>CCC=O</t>
  </si>
  <si>
    <t xml:space="preserve">1-propanol </t>
  </si>
  <si>
    <t>1-propanol</t>
  </si>
  <si>
    <t>CCCO</t>
  </si>
  <si>
    <t xml:space="preserve">2-propanol </t>
  </si>
  <si>
    <t>2-propanol</t>
  </si>
  <si>
    <t>CC(C)O</t>
  </si>
  <si>
    <t>propionate ion (-1)</t>
  </si>
  <si>
    <t>propionic acid</t>
  </si>
  <si>
    <t>CCC(=O)[O-]</t>
  </si>
  <si>
    <t>propionic acid (0)</t>
  </si>
  <si>
    <t>CCC(=O)O</t>
  </si>
  <si>
    <t>propyl acetate</t>
  </si>
  <si>
    <t>CCCOC(=O)C</t>
  </si>
  <si>
    <t>succinate ion (-2)</t>
  </si>
  <si>
    <t>succinic acid</t>
  </si>
  <si>
    <t>C(CC(=O)[O-])C(=O)[O-]</t>
  </si>
  <si>
    <t>succinic acid (0)</t>
  </si>
  <si>
    <t>C(CC(=O)O)C(=O)O</t>
  </si>
  <si>
    <t>sucrose</t>
  </si>
  <si>
    <t>C([C@@H]1[C@H]([C@@H]([C@H]([C@H](O1)O[C@]2([C@H]([C@@H]([C@H](O2)CO)O)O)CO)O)O)O)O</t>
  </si>
  <si>
    <t>tetrahydrofuran</t>
  </si>
  <si>
    <t>C1CCOC1</t>
  </si>
  <si>
    <t>tetranitromethane</t>
  </si>
  <si>
    <t>C([N+](=O)[O-])([N+](=O)[O-])([N+](=O)[O-])[N+](=O)[O-]</t>
  </si>
  <si>
    <t>Note: (0), (-1), (-2), (+1), and (+2) represent the net charge states of the dissociating TrOCs.</t>
    <phoneticPr fontId="2" type="noConversion"/>
  </si>
  <si>
    <r>
      <rPr>
        <b/>
        <i/>
        <sz val="12"/>
        <rFont val="Times New Roman"/>
        <family val="1"/>
      </rPr>
      <t>k</t>
    </r>
    <r>
      <rPr>
        <b/>
        <vertAlign val="subscript"/>
        <sz val="12"/>
        <rFont val="Times New Roman"/>
        <family val="1"/>
      </rPr>
      <t>abs</t>
    </r>
    <r>
      <rPr>
        <b/>
        <sz val="12"/>
        <rFont val="Times New Roman"/>
        <family val="1"/>
      </rPr>
      <t xml:space="preserve"> (M</t>
    </r>
    <r>
      <rPr>
        <b/>
        <vertAlign val="superscript"/>
        <sz val="12"/>
        <rFont val="Times New Roman"/>
        <family val="1"/>
      </rPr>
      <t>-1</t>
    </r>
    <r>
      <rPr>
        <b/>
        <sz val="12"/>
        <rFont val="Times New Roman"/>
        <family val="1"/>
      </rPr>
      <t xml:space="preserve"> s</t>
    </r>
    <r>
      <rPr>
        <b/>
        <vertAlign val="superscript"/>
        <sz val="12"/>
        <rFont val="Times New Roman"/>
        <family val="1"/>
      </rPr>
      <t>-1</t>
    </r>
    <r>
      <rPr>
        <b/>
        <sz val="12"/>
        <rFont val="Times New Roman"/>
        <family val="1"/>
      </rPr>
      <t>)</t>
    </r>
    <phoneticPr fontId="2" type="noConversion"/>
  </si>
  <si>
    <r>
      <t>tryptophan (0</t>
    </r>
    <r>
      <rPr>
        <sz val="12"/>
        <rFont val="宋体"/>
        <family val="3"/>
        <charset val="134"/>
      </rPr>
      <t>）</t>
    </r>
  </si>
  <si>
    <r>
      <t>2,4-diamino-5-methylpyrimidine (0</t>
    </r>
    <r>
      <rPr>
        <sz val="12"/>
        <rFont val="宋体"/>
        <family val="3"/>
        <charset val="134"/>
      </rPr>
      <t>）</t>
    </r>
  </si>
  <si>
    <t>pH</t>
    <phoneticPr fontId="10" type="noConversion"/>
  </si>
  <si>
    <t>20±1</t>
    <phoneticPr fontId="10" type="noConversion"/>
  </si>
  <si>
    <t>10.1021/acs.est.4c07119</t>
  </si>
  <si>
    <t>10.1016/0043-1354(91)90155-J</t>
    <phoneticPr fontId="10" type="noConversion"/>
  </si>
  <si>
    <t>n</t>
    <phoneticPr fontId="10" type="noConversion"/>
  </si>
  <si>
    <t>10.1080/01919510903041354</t>
    <phoneticPr fontId="10" type="noConversion"/>
  </si>
  <si>
    <t>10.1039/b212194h</t>
    <phoneticPr fontId="10" type="noConversion"/>
  </si>
  <si>
    <t>10.1016/0043-1354(83)90098-2</t>
    <phoneticPr fontId="10" type="noConversion"/>
  </si>
  <si>
    <t>7, 10</t>
  </si>
  <si>
    <t>10.1039/b301824p</t>
    <phoneticPr fontId="10" type="noConversion"/>
  </si>
  <si>
    <t>10.1021/es971044j</t>
    <phoneticPr fontId="10" type="noConversion"/>
  </si>
  <si>
    <t>21±1</t>
  </si>
  <si>
    <t>10.1039/b009388m</t>
  </si>
  <si>
    <t>10.1021/acs.est.9b02471</t>
    <phoneticPr fontId="10" type="noConversion"/>
  </si>
  <si>
    <t>6.2‒6.4</t>
  </si>
  <si>
    <t>10.1021/acs.est.8b06645</t>
    <phoneticPr fontId="10" type="noConversion"/>
  </si>
  <si>
    <t>10.1039/B009327K</t>
  </si>
  <si>
    <t xml:space="preserve"> 10.1021/acs.est.8b02516</t>
    <phoneticPr fontId="10" type="noConversion"/>
  </si>
  <si>
    <t>20±2</t>
    <phoneticPr fontId="10" type="noConversion"/>
  </si>
  <si>
    <t>10.1021/es061687b</t>
  </si>
  <si>
    <t>n</t>
    <phoneticPr fontId="10" type="noConversion"/>
  </si>
  <si>
    <t>20±1</t>
  </si>
  <si>
    <t>20±0.5</t>
    <phoneticPr fontId="10" type="noConversion"/>
  </si>
  <si>
    <t>2.7‒6.4</t>
  </si>
  <si>
    <t>10.1016/0043-1354(83)90099-4</t>
  </si>
  <si>
    <t>10.1016/j.watres.2021.117487</t>
    <phoneticPr fontId="10" type="noConversion"/>
  </si>
  <si>
    <t>10.1021/acs.est.6b04506</t>
    <phoneticPr fontId="10" type="noConversion"/>
  </si>
  <si>
    <t>2.7‒6.3</t>
  </si>
  <si>
    <t>20‒25</t>
  </si>
  <si>
    <t>10.1021/ja00335a038</t>
  </si>
  <si>
    <t>10.1002/1097-4601(200103)33:3&lt;182::AID-KIN1012&gt;3.0.CO;2-D</t>
  </si>
  <si>
    <t>limononic acid</t>
    <phoneticPr fontId="10" type="noConversion"/>
  </si>
  <si>
    <t>10.1021/acs.est.7b04867</t>
    <phoneticPr fontId="10" type="noConversion"/>
  </si>
  <si>
    <t>20‒21</t>
  </si>
  <si>
    <t>10.1021/es0625327</t>
  </si>
  <si>
    <t>25±2</t>
    <phoneticPr fontId="10" type="noConversion"/>
  </si>
  <si>
    <t>10.1021/acs.est.6b03612</t>
    <phoneticPr fontId="10" type="noConversion"/>
  </si>
  <si>
    <t>21±1</t>
    <phoneticPr fontId="10" type="noConversion"/>
  </si>
  <si>
    <t>10.1080/02772249709358521</t>
  </si>
  <si>
    <t>20±0.5</t>
    <phoneticPr fontId="10" type="noConversion"/>
  </si>
  <si>
    <t>10.1021/es051369x</t>
  </si>
  <si>
    <t>18 ±1⁢</t>
  </si>
  <si>
    <t>10.1016/j.watres.2006.03.034</t>
    <phoneticPr fontId="10" type="noConversion"/>
  </si>
  <si>
    <t>10.1016/j.watres.2009.07.031</t>
  </si>
  <si>
    <t>10.1021/es0625327</t>
    <phoneticPr fontId="10" type="noConversion"/>
  </si>
  <si>
    <t>10.1021/acs.est.8b00996</t>
  </si>
  <si>
    <t>10.1021/acs.est.8b00997</t>
  </si>
  <si>
    <t>10.1021/es025896h</t>
  </si>
  <si>
    <t>10.1016/S0043-1354(01)00500-0</t>
    <phoneticPr fontId="10" type="noConversion"/>
  </si>
  <si>
    <t>20±1</t>
    <phoneticPr fontId="10" type="noConversion"/>
  </si>
  <si>
    <t>10.1021/acs.est.4c07119</t>
    <phoneticPr fontId="10" type="noConversion"/>
  </si>
  <si>
    <t>10.1021/es035205x</t>
  </si>
  <si>
    <t>10.1016/j.chemosphere.2017.12.079</t>
    <phoneticPr fontId="10" type="noConversion"/>
  </si>
  <si>
    <t>cirect</t>
    <phoneticPr fontId="10" type="noConversion"/>
  </si>
  <si>
    <t>10.1016/j.watres.2019.03.089</t>
  </si>
  <si>
    <t>10.1039/A909668J</t>
  </si>
  <si>
    <t>20–22</t>
    <phoneticPr fontId="10" type="noConversion"/>
  </si>
  <si>
    <t>10.1016/j.watres.2008.04.002</t>
  </si>
  <si>
    <t>20–23</t>
  </si>
  <si>
    <t>10.1016/0043-1354(83)90270-1Get rights and content</t>
    <phoneticPr fontId="10" type="noConversion"/>
  </si>
  <si>
    <t>20–24</t>
  </si>
  <si>
    <t>10.1021/acs.est.5b00902</t>
  </si>
  <si>
    <t>20–25</t>
  </si>
  <si>
    <t>25±1</t>
    <phoneticPr fontId="10" type="noConversion"/>
  </si>
  <si>
    <t>10.1080/01919510490885334</t>
  </si>
  <si>
    <t>10.1021/es062484q</t>
  </si>
  <si>
    <t>epdf/10.1080/09593330.1996.9618396</t>
  </si>
  <si>
    <t>22±2</t>
    <phoneticPr fontId="10" type="noConversion"/>
  </si>
  <si>
    <t>10.1021/es203348q</t>
  </si>
  <si>
    <t>20±0.5</t>
  </si>
  <si>
    <t>lincomycin (0)</t>
    <phoneticPr fontId="10" type="noConversion"/>
  </si>
  <si>
    <t xml:space="preserve"> 25± 0.2</t>
    <phoneticPr fontId="10" type="noConversion"/>
  </si>
  <si>
    <t>10.1111/j.1747-6593.2009.00169.x</t>
  </si>
  <si>
    <t>10.1016/j.chemosphere.2010.03.032</t>
    <phoneticPr fontId="10" type="noConversion"/>
  </si>
  <si>
    <t>10.1021/ie801762p</t>
  </si>
  <si>
    <t>23±2</t>
    <phoneticPr fontId="10" type="noConversion"/>
  </si>
  <si>
    <t>10.1039/c9ew01078e</t>
  </si>
  <si>
    <t>15±1</t>
    <phoneticPr fontId="10" type="noConversion"/>
  </si>
  <si>
    <t>10.1248/cpb.32.3601</t>
    <phoneticPr fontId="10" type="noConversion"/>
  </si>
  <si>
    <t>10.1021/es203712z</t>
  </si>
  <si>
    <t>21±1</t>
    <phoneticPr fontId="10" type="noConversion"/>
  </si>
  <si>
    <t>10.1039/b009388m</t>
    <phoneticPr fontId="10" type="noConversion"/>
  </si>
  <si>
    <t>10.1021/jf010123i</t>
  </si>
  <si>
    <t>10.2166/wst.2009.153</t>
    <phoneticPr fontId="10" type="noConversion"/>
  </si>
  <si>
    <t>10.1021/es990724e</t>
  </si>
  <si>
    <t>20±2</t>
    <phoneticPr fontId="10" type="noConversion"/>
  </si>
  <si>
    <t>20±2</t>
  </si>
  <si>
    <t>10.1039/b301824p</t>
  </si>
  <si>
    <t>10.1016/j.watres.2007.02.049</t>
  </si>
  <si>
    <t>10.1016/S0043-1354(02)00460-8</t>
    <phoneticPr fontId="10" type="noConversion"/>
  </si>
  <si>
    <t>10.1016/0043-1354(83)90099-4</t>
    <phoneticPr fontId="10" type="noConversion"/>
  </si>
  <si>
    <t>10.1021/i100013a011</t>
  </si>
  <si>
    <t>10.1021/es0501619</t>
    <phoneticPr fontId="10" type="noConversion"/>
  </si>
  <si>
    <t>21 ± 1</t>
  </si>
  <si>
    <t>10.1016/j.chemosphere.2007.01.055</t>
    <phoneticPr fontId="10" type="noConversion"/>
  </si>
  <si>
    <t>10.1016/0043-1354(83)90098-2</t>
  </si>
  <si>
    <t>10.1021/es048396s</t>
  </si>
  <si>
    <t>10.1016/j.watres.2007.07.037</t>
    <phoneticPr fontId="10" type="noConversion"/>
  </si>
  <si>
    <t>10.1016/j.watres.2007.07.037</t>
  </si>
  <si>
    <t>10.2166/wst.2007.422</t>
    <phoneticPr fontId="10" type="noConversion"/>
  </si>
  <si>
    <t>10.1016/j.watres.2009.12.018</t>
    <phoneticPr fontId="10" type="noConversion"/>
  </si>
  <si>
    <t>10.1016/0043-1354(86)90009-6</t>
  </si>
  <si>
    <t>10.1016/0043-1354(91)90155-J</t>
  </si>
  <si>
    <t>10.1016/j.chemosphere.2003.11.019</t>
    <phoneticPr fontId="10" type="noConversion"/>
  </si>
  <si>
    <t>20–26</t>
  </si>
  <si>
    <t>20–27</t>
  </si>
  <si>
    <t>10.1039/a909668j</t>
  </si>
  <si>
    <t>10.1515/HF.1999.049</t>
  </si>
  <si>
    <t>estimated</t>
    <phoneticPr fontId="10" type="noConversion"/>
  </si>
  <si>
    <t>24±1</t>
    <phoneticPr fontId="10" type="noConversion"/>
  </si>
  <si>
    <t>20–28</t>
  </si>
  <si>
    <t>20±3</t>
    <phoneticPr fontId="10" type="noConversion"/>
  </si>
  <si>
    <t>10.1080/01919519208552274</t>
  </si>
  <si>
    <t>20–29</t>
  </si>
  <si>
    <t>20–30</t>
  </si>
  <si>
    <t>20–31</t>
  </si>
  <si>
    <t>10.1039/b101230o</t>
  </si>
  <si>
    <t>10.1021/j100181a084</t>
  </si>
  <si>
    <t>10.1080/01919512.2014.891436</t>
  </si>
  <si>
    <t>10.1021/jp022455b</t>
  </si>
  <si>
    <t>T (°C)</t>
    <phoneticPr fontId="10" type="noConversion"/>
  </si>
  <si>
    <t>DOI</t>
    <phoneticPr fontId="1" type="noConversion"/>
  </si>
  <si>
    <t>species specific</t>
  </si>
  <si>
    <t>‒</t>
    <phoneticPr fontId="1" type="noConversion"/>
  </si>
  <si>
    <t>22‒24</t>
  </si>
  <si>
    <t>20‒22</t>
  </si>
  <si>
    <t>1.7‒3</t>
  </si>
  <si>
    <t>1.5‒2.9</t>
  </si>
  <si>
    <t>20‒26</t>
  </si>
  <si>
    <t>20±0.5</t>
    <phoneticPr fontId="1" type="noConversion"/>
  </si>
  <si>
    <t>23±3</t>
    <phoneticPr fontId="1" type="noConversion"/>
  </si>
  <si>
    <t>23±2</t>
  </si>
  <si>
    <t>25±2</t>
  </si>
  <si>
    <t>25±2</t>
    <phoneticPr fontId="1" type="noConversion"/>
  </si>
  <si>
    <t>22±1</t>
  </si>
  <si>
    <t>22±2</t>
  </si>
  <si>
    <t>19±1</t>
  </si>
  <si>
    <t>21±0.5</t>
  </si>
  <si>
    <t>10.1016/j.jhazmat.2016.06.039</t>
    <phoneticPr fontId="1" type="noConversion"/>
  </si>
  <si>
    <t>Jans, U. Doctoral thesis. ETH Zurich 1996.</t>
  </si>
  <si>
    <t>von Sonntag, C., von Gunten, U., 2012. Chemistry of ozone in water and wastewater treatment. From basic principles to applications. London, IWA.</t>
    <phoneticPr fontId="10" type="noConversion"/>
  </si>
  <si>
    <t>10.1021/es0501619</t>
    <phoneticPr fontId="1" type="noConversion"/>
  </si>
  <si>
    <t>Determination method</t>
    <phoneticPr fontId="1" type="noConversion"/>
  </si>
  <si>
    <t>Note: (0), (-1), (-2), (+1), and (+2) represent the net charge states of the dissociating TrOCs.</t>
  </si>
  <si>
    <t>excluded</t>
    <phoneticPr fontId="1" type="noConversion"/>
  </si>
  <si>
    <t>propachlore (0)</t>
    <phoneticPr fontId="1" type="noConversion"/>
  </si>
  <si>
    <t>Inclusion status</t>
    <phoneticPr fontId="1" type="noConversion"/>
  </si>
  <si>
    <t>included</t>
  </si>
  <si>
    <t>included</t>
    <phoneticPr fontId="1" type="noConversion"/>
  </si>
  <si>
    <t>not available</t>
  </si>
  <si>
    <t>not available</t>
    <phoneticPr fontId="1" type="noConversion"/>
  </si>
  <si>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abs</t>
    </r>
    <r>
      <rPr>
        <b/>
        <sz val="11"/>
        <rFont val="Times New Roman"/>
        <family val="1"/>
      </rPr>
      <t xml:space="preserve"> or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app</t>
    </r>
    <r>
      <rPr>
        <b/>
        <sz val="11"/>
        <rFont val="Times New Roman"/>
        <family val="1"/>
      </rPr>
      <t xml:space="preserve"> (M</t>
    </r>
    <r>
      <rPr>
        <b/>
        <vertAlign val="superscript"/>
        <sz val="11"/>
        <rFont val="Times New Roman"/>
        <family val="1"/>
      </rPr>
      <t>‒1</t>
    </r>
    <r>
      <rPr>
        <b/>
        <sz val="11"/>
        <rFont val="Times New Roman"/>
        <family val="1"/>
      </rPr>
      <t xml:space="preserve"> s</t>
    </r>
    <r>
      <rPr>
        <b/>
        <vertAlign val="superscript"/>
        <sz val="11"/>
        <rFont val="Times New Roman"/>
        <family val="1"/>
      </rPr>
      <t>‒1</t>
    </r>
    <r>
      <rPr>
        <b/>
        <sz val="11"/>
        <rFont val="Times New Roman"/>
        <family val="1"/>
      </rPr>
      <t>)</t>
    </r>
    <phoneticPr fontId="1" type="noConversion"/>
  </si>
  <si>
    <r>
      <t>log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abs</t>
    </r>
    <r>
      <rPr>
        <b/>
        <sz val="11"/>
        <rFont val="Times New Roman"/>
        <family val="1"/>
      </rPr>
      <t xml:space="preserve"> or log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app</t>
    </r>
    <r>
      <rPr>
        <b/>
        <sz val="11"/>
        <rFont val="Times New Roman"/>
        <family val="1"/>
      </rPr>
      <t xml:space="preserve"> (M</t>
    </r>
    <r>
      <rPr>
        <b/>
        <vertAlign val="superscript"/>
        <sz val="11"/>
        <rFont val="Times New Roman"/>
        <family val="1"/>
      </rPr>
      <t>‒1</t>
    </r>
    <r>
      <rPr>
        <b/>
        <sz val="11"/>
        <rFont val="Times New Roman"/>
        <family val="1"/>
      </rPr>
      <t xml:space="preserve"> s</t>
    </r>
    <r>
      <rPr>
        <b/>
        <vertAlign val="superscript"/>
        <sz val="11"/>
        <rFont val="Times New Roman"/>
        <family val="1"/>
      </rPr>
      <t>‒1</t>
    </r>
    <r>
      <rPr>
        <b/>
        <sz val="11"/>
        <rFont val="Times New Roman"/>
        <family val="1"/>
      </rPr>
      <t>)</t>
    </r>
    <phoneticPr fontId="1" type="noConversion"/>
  </si>
  <si>
    <r>
      <t>Inter-literature SD</t>
    </r>
    <r>
      <rPr>
        <b/>
        <vertAlign val="subscript"/>
        <sz val="11"/>
        <rFont val="Times New Roman"/>
        <family val="1"/>
      </rPr>
      <t>log</t>
    </r>
    <r>
      <rPr>
        <b/>
        <i/>
        <vertAlign val="subscript"/>
        <sz val="11"/>
        <rFont val="Times New Roman"/>
        <family val="1"/>
      </rPr>
      <t>k</t>
    </r>
    <phoneticPr fontId="1" type="noConversion"/>
  </si>
  <si>
    <r>
      <t>tryptophan (0</t>
    </r>
    <r>
      <rPr>
        <sz val="11"/>
        <rFont val="宋体"/>
        <family val="3"/>
        <charset val="134"/>
      </rPr>
      <t>）</t>
    </r>
  </si>
  <si>
    <r>
      <t>2,4-diamino-5-methylpyrimidine (0</t>
    </r>
    <r>
      <rPr>
        <sz val="11"/>
        <rFont val="宋体"/>
        <family val="3"/>
        <charset val="134"/>
      </rPr>
      <t>）</t>
    </r>
  </si>
  <si>
    <t>2‒8</t>
    <phoneticPr fontId="10" type="noConversion"/>
  </si>
  <si>
    <t>direct measurement methods</t>
  </si>
  <si>
    <t>competition kinetics</t>
  </si>
  <si>
    <t>direct measurement methods+competition kinetics</t>
  </si>
  <si>
    <t>reactive O3 adsorption-based methods</t>
  </si>
  <si>
    <r>
      <t>reactive O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 xml:space="preserve"> adsorption-based methods</t>
    </r>
    <phoneticPr fontId="1" type="noConversion"/>
  </si>
  <si>
    <t>Name of TrOC species</t>
    <phoneticPr fontId="1" type="noConversion"/>
  </si>
  <si>
    <t>TrOC</t>
    <phoneticPr fontId="1" type="noConversion"/>
  </si>
  <si>
    <t>anilines</t>
    <phoneticPr fontId="1" type="noConversion"/>
  </si>
  <si>
    <t>phenols</t>
    <phoneticPr fontId="1" type="noConversion"/>
  </si>
  <si>
    <t>C‒H groups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</si>
</sst>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 "/>
    <numFmt numFmtId="178" formatCode="0.00_);[Red]\(0.00\)"/>
  </numFmts>
  <fonts count="1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vertAlign val="subscript"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i/>
      <vertAlign val="subscript"/>
      <sz val="11"/>
      <name val="Times New Roman"/>
      <family val="1"/>
    </font>
    <font>
      <sz val="11"/>
      <name val="宋体"/>
      <family val="3"/>
      <charset val="134"/>
    </font>
    <font>
      <vertAlign val="sub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1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left" vertical="center"/>
    </xf>
    <xf numFmtId="178" fontId="11" fillId="0" borderId="0" xfId="0" applyNumberFormat="1" applyFont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78" fontId="11" fillId="0" borderId="0" xfId="1" applyNumberFormat="1" applyFont="1" applyFill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58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39/b212194h" TargetMode="External"/><Relationship Id="rId1" Type="http://schemas.openxmlformats.org/officeDocument/2006/relationships/hyperlink" Target="https://doi.org/10.1039/b212194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51EB-6A78-42F8-897B-805BC14207AE}">
  <dimension ref="A1:N524"/>
  <sheetViews>
    <sheetView workbookViewId="0">
      <selection activeCell="A5" sqref="A5"/>
    </sheetView>
  </sheetViews>
  <sheetFormatPr defaultRowHeight="13.9" x14ac:dyDescent="0.3"/>
  <cols>
    <col min="1" max="1" width="35.19921875" style="5" customWidth="1"/>
    <col min="2" max="2" width="20.33203125" style="5" customWidth="1"/>
    <col min="3" max="3" width="24.53125" style="5" customWidth="1"/>
    <col min="4" max="4" width="20.06640625" style="5" customWidth="1"/>
    <col min="5" max="5" width="16.46484375" style="5" customWidth="1"/>
    <col min="6" max="6" width="27.53125" style="5" customWidth="1"/>
    <col min="7" max="7" width="54.3984375" style="5" customWidth="1"/>
    <col min="8" max="8" width="21.33203125" style="10" customWidth="1"/>
    <col min="9" max="9" width="18.1328125" style="5" customWidth="1"/>
    <col min="10" max="16384" width="9.06640625" style="5"/>
  </cols>
  <sheetData>
    <row r="1" spans="1:9" ht="17.25" x14ac:dyDescent="0.3">
      <c r="A1" s="6" t="s">
        <v>1401</v>
      </c>
      <c r="B1" s="6" t="s">
        <v>1390</v>
      </c>
      <c r="C1" s="6" t="s">
        <v>1391</v>
      </c>
      <c r="D1" s="6" t="s">
        <v>1239</v>
      </c>
      <c r="E1" s="6" t="s">
        <v>1359</v>
      </c>
      <c r="F1" s="6" t="s">
        <v>1381</v>
      </c>
      <c r="G1" s="6" t="s">
        <v>1360</v>
      </c>
      <c r="H1" s="7" t="s">
        <v>1392</v>
      </c>
      <c r="I1" s="6" t="s">
        <v>1385</v>
      </c>
    </row>
    <row r="2" spans="1:9" x14ac:dyDescent="0.3">
      <c r="A2" s="5" t="s">
        <v>30</v>
      </c>
      <c r="B2" s="8">
        <v>200000</v>
      </c>
      <c r="C2" s="9">
        <f>LOG10(B2)</f>
        <v>5.3010299956639813</v>
      </c>
      <c r="D2" s="5">
        <v>2.2999999999999998</v>
      </c>
      <c r="E2" s="5" t="s">
        <v>1240</v>
      </c>
      <c r="F2" s="5" t="s">
        <v>1396</v>
      </c>
      <c r="G2" s="5" t="s">
        <v>1241</v>
      </c>
      <c r="I2" s="5" t="s">
        <v>1387</v>
      </c>
    </row>
    <row r="3" spans="1:9" x14ac:dyDescent="0.3">
      <c r="A3" s="5" t="s">
        <v>33</v>
      </c>
      <c r="B3" s="8">
        <v>100000</v>
      </c>
      <c r="C3" s="9">
        <f t="shared" ref="C3:C66" si="0">LOG10(B3)</f>
        <v>5</v>
      </c>
      <c r="D3" s="5" t="s">
        <v>1361</v>
      </c>
      <c r="E3" s="5" t="s">
        <v>1373</v>
      </c>
      <c r="F3" s="5" t="s">
        <v>1397</v>
      </c>
      <c r="G3" s="5" t="s">
        <v>1242</v>
      </c>
      <c r="I3" s="5" t="s">
        <v>1387</v>
      </c>
    </row>
    <row r="4" spans="1:9" x14ac:dyDescent="0.3">
      <c r="A4" s="5" t="s">
        <v>37</v>
      </c>
      <c r="B4" s="8">
        <v>28000</v>
      </c>
      <c r="C4" s="9">
        <f t="shared" si="0"/>
        <v>4.4471580313422194</v>
      </c>
      <c r="D4" s="5" t="s">
        <v>1361</v>
      </c>
      <c r="E4" s="5" t="s">
        <v>1389</v>
      </c>
      <c r="F4" s="5" t="s">
        <v>1396</v>
      </c>
      <c r="G4" s="5" t="s">
        <v>1244</v>
      </c>
      <c r="I4" s="5" t="s">
        <v>1387</v>
      </c>
    </row>
    <row r="5" spans="1:9" x14ac:dyDescent="0.3">
      <c r="A5" s="5" t="s">
        <v>40</v>
      </c>
      <c r="B5" s="8">
        <v>160000</v>
      </c>
      <c r="C5" s="9">
        <f t="shared" si="0"/>
        <v>5.204119982655925</v>
      </c>
      <c r="D5" s="5" t="s">
        <v>1361</v>
      </c>
      <c r="E5" s="5" t="s">
        <v>1389</v>
      </c>
      <c r="F5" s="5" t="s">
        <v>1396</v>
      </c>
      <c r="G5" s="5" t="s">
        <v>1244</v>
      </c>
      <c r="I5" s="5" t="s">
        <v>1387</v>
      </c>
    </row>
    <row r="6" spans="1:9" x14ac:dyDescent="0.3">
      <c r="A6" s="5" t="s">
        <v>42</v>
      </c>
      <c r="B6" s="8">
        <v>670</v>
      </c>
      <c r="C6" s="9">
        <f t="shared" si="0"/>
        <v>2.8260748027008264</v>
      </c>
      <c r="D6" s="5" t="s">
        <v>1389</v>
      </c>
      <c r="E6" s="5" t="s">
        <v>1389</v>
      </c>
      <c r="F6" s="5" t="s">
        <v>1396</v>
      </c>
      <c r="G6" s="11" t="s">
        <v>1245</v>
      </c>
      <c r="H6" s="12"/>
      <c r="I6" s="5" t="s">
        <v>1387</v>
      </c>
    </row>
    <row r="7" spans="1:9" x14ac:dyDescent="0.3">
      <c r="A7" s="5" t="s">
        <v>44</v>
      </c>
      <c r="B7" s="8">
        <v>120000</v>
      </c>
      <c r="C7" s="9">
        <f t="shared" si="0"/>
        <v>5.0791812460476251</v>
      </c>
      <c r="D7" s="5">
        <v>2</v>
      </c>
      <c r="E7" s="5" t="s">
        <v>1370</v>
      </c>
      <c r="F7" s="5" t="s">
        <v>1396</v>
      </c>
      <c r="G7" s="5" t="s">
        <v>1246</v>
      </c>
      <c r="I7" s="5" t="s">
        <v>1387</v>
      </c>
    </row>
    <row r="8" spans="1:9" x14ac:dyDescent="0.3">
      <c r="A8" s="5" t="s">
        <v>46</v>
      </c>
      <c r="B8" s="8">
        <v>2500</v>
      </c>
      <c r="C8" s="9">
        <f t="shared" si="0"/>
        <v>3.3979400086720375</v>
      </c>
      <c r="D8" s="5" t="s">
        <v>1247</v>
      </c>
      <c r="E8" s="5" t="s">
        <v>1388</v>
      </c>
      <c r="F8" s="5" t="s">
        <v>1396</v>
      </c>
      <c r="G8" s="5" t="s">
        <v>1248</v>
      </c>
      <c r="I8" s="5" t="s">
        <v>1387</v>
      </c>
    </row>
    <row r="9" spans="1:9" x14ac:dyDescent="0.3">
      <c r="A9" s="5" t="s">
        <v>48</v>
      </c>
      <c r="B9" s="8">
        <v>3000</v>
      </c>
      <c r="C9" s="9">
        <f t="shared" si="0"/>
        <v>3.4771212547196626</v>
      </c>
      <c r="D9" s="5">
        <v>2.2999999999999998</v>
      </c>
      <c r="E9" s="5" t="s">
        <v>1240</v>
      </c>
      <c r="F9" s="5" t="s">
        <v>1396</v>
      </c>
      <c r="G9" s="5" t="s">
        <v>1241</v>
      </c>
      <c r="I9" s="5" t="s">
        <v>1387</v>
      </c>
    </row>
    <row r="10" spans="1:9" x14ac:dyDescent="0.3">
      <c r="A10" s="5" t="s">
        <v>50</v>
      </c>
      <c r="B10" s="8">
        <v>12000</v>
      </c>
      <c r="C10" s="9">
        <f t="shared" si="0"/>
        <v>4.0791812460476251</v>
      </c>
      <c r="D10" s="5">
        <v>2.2999999999999998</v>
      </c>
      <c r="E10" s="5" t="s">
        <v>1240</v>
      </c>
      <c r="F10" s="5" t="s">
        <v>1396</v>
      </c>
      <c r="G10" s="5" t="s">
        <v>1241</v>
      </c>
      <c r="I10" s="5" t="s">
        <v>1387</v>
      </c>
    </row>
    <row r="11" spans="1:9" x14ac:dyDescent="0.3">
      <c r="A11" s="5" t="s">
        <v>52</v>
      </c>
      <c r="B11" s="8">
        <v>340000</v>
      </c>
      <c r="C11" s="9">
        <f t="shared" si="0"/>
        <v>5.5314789170422554</v>
      </c>
      <c r="D11" s="5">
        <v>2.2999999999999998</v>
      </c>
      <c r="E11" s="5" t="s">
        <v>1240</v>
      </c>
      <c r="F11" s="5" t="s">
        <v>1396</v>
      </c>
      <c r="G11" s="5" t="s">
        <v>1241</v>
      </c>
      <c r="I11" s="5" t="s">
        <v>1387</v>
      </c>
    </row>
    <row r="12" spans="1:9" x14ac:dyDescent="0.3">
      <c r="A12" s="5" t="s">
        <v>54</v>
      </c>
      <c r="B12" s="8">
        <v>360000</v>
      </c>
      <c r="C12" s="9">
        <f t="shared" si="0"/>
        <v>5.5563025007672868</v>
      </c>
      <c r="D12" s="5">
        <v>2.2999999999999998</v>
      </c>
      <c r="E12" s="5" t="s">
        <v>1240</v>
      </c>
      <c r="F12" s="5" t="s">
        <v>1396</v>
      </c>
      <c r="G12" s="5" t="s">
        <v>1241</v>
      </c>
      <c r="I12" s="5" t="s">
        <v>1387</v>
      </c>
    </row>
    <row r="13" spans="1:9" x14ac:dyDescent="0.3">
      <c r="A13" s="5" t="s">
        <v>56</v>
      </c>
      <c r="B13" s="8">
        <v>99000</v>
      </c>
      <c r="C13" s="9">
        <f t="shared" si="0"/>
        <v>4.9956351945975497</v>
      </c>
      <c r="D13" s="5">
        <v>2.2999999999999998</v>
      </c>
      <c r="E13" s="5" t="s">
        <v>1240</v>
      </c>
      <c r="F13" s="5" t="s">
        <v>1396</v>
      </c>
      <c r="G13" s="5" t="s">
        <v>1241</v>
      </c>
      <c r="H13" s="10">
        <v>4.9525096415838528E-2</v>
      </c>
      <c r="I13" s="5" t="s">
        <v>1383</v>
      </c>
    </row>
    <row r="14" spans="1:9" x14ac:dyDescent="0.3">
      <c r="A14" s="5" t="s">
        <v>56</v>
      </c>
      <c r="B14" s="8">
        <v>79000</v>
      </c>
      <c r="C14" s="9">
        <f t="shared" si="0"/>
        <v>4.8976270912904418</v>
      </c>
      <c r="D14" s="5" t="s">
        <v>1388</v>
      </c>
      <c r="E14" s="5" t="s">
        <v>1388</v>
      </c>
      <c r="F14" s="5" t="s">
        <v>1396</v>
      </c>
      <c r="G14" s="5" t="s">
        <v>1249</v>
      </c>
      <c r="H14" s="10">
        <v>4.9525096415838528E-2</v>
      </c>
      <c r="I14" s="5" t="s">
        <v>1383</v>
      </c>
    </row>
    <row r="15" spans="1:9" x14ac:dyDescent="0.3">
      <c r="A15" s="5" t="s">
        <v>56</v>
      </c>
      <c r="B15" s="8">
        <v>91000</v>
      </c>
      <c r="C15" s="9">
        <f t="shared" si="0"/>
        <v>4.9590413923210939</v>
      </c>
      <c r="D15" s="5" t="s">
        <v>1388</v>
      </c>
      <c r="E15" s="5" t="s">
        <v>1250</v>
      </c>
      <c r="F15" s="5" t="s">
        <v>1397</v>
      </c>
      <c r="G15" s="5" t="s">
        <v>1251</v>
      </c>
      <c r="H15" s="10">
        <v>4.9525096415838528E-2</v>
      </c>
      <c r="I15" s="5" t="s">
        <v>1383</v>
      </c>
    </row>
    <row r="16" spans="1:9" x14ac:dyDescent="0.3">
      <c r="A16" s="5" t="s">
        <v>58</v>
      </c>
      <c r="B16" s="8">
        <v>480000</v>
      </c>
      <c r="C16" s="9">
        <f t="shared" si="0"/>
        <v>5.6812412373755876</v>
      </c>
      <c r="D16" s="5" t="s">
        <v>1361</v>
      </c>
      <c r="E16" s="5" t="s">
        <v>1374</v>
      </c>
      <c r="F16" s="5" t="s">
        <v>1397</v>
      </c>
      <c r="G16" s="5" t="s">
        <v>1252</v>
      </c>
      <c r="H16" s="10">
        <v>6.8525727362873101E-2</v>
      </c>
      <c r="I16" s="5" t="s">
        <v>1387</v>
      </c>
    </row>
    <row r="17" spans="1:9" x14ac:dyDescent="0.3">
      <c r="A17" s="5" t="s">
        <v>58</v>
      </c>
      <c r="B17" s="8">
        <v>600000</v>
      </c>
      <c r="C17" s="9">
        <f t="shared" si="0"/>
        <v>5.7781512503836439</v>
      </c>
      <c r="D17" s="5" t="s">
        <v>1361</v>
      </c>
      <c r="E17" s="5" t="s">
        <v>1374</v>
      </c>
      <c r="F17" s="5" t="s">
        <v>1397</v>
      </c>
      <c r="G17" s="5" t="s">
        <v>1252</v>
      </c>
      <c r="H17" s="10">
        <v>6.8525727362873101E-2</v>
      </c>
      <c r="I17" s="5" t="s">
        <v>1387</v>
      </c>
    </row>
    <row r="18" spans="1:9" ht="13.15" customHeight="1" x14ac:dyDescent="0.3">
      <c r="A18" s="5" t="s">
        <v>61</v>
      </c>
      <c r="B18" s="8">
        <v>0.04</v>
      </c>
      <c r="C18" s="9">
        <f t="shared" si="0"/>
        <v>-1.3979400086720375</v>
      </c>
      <c r="D18" s="5" t="s">
        <v>1253</v>
      </c>
      <c r="E18" s="5" t="s">
        <v>1375</v>
      </c>
      <c r="F18" s="5" t="s">
        <v>1396</v>
      </c>
      <c r="G18" s="5" t="s">
        <v>1242</v>
      </c>
      <c r="I18" s="5" t="s">
        <v>1387</v>
      </c>
    </row>
    <row r="19" spans="1:9" x14ac:dyDescent="0.3">
      <c r="A19" s="5" t="s">
        <v>63</v>
      </c>
      <c r="B19" s="8">
        <v>69000</v>
      </c>
      <c r="C19" s="9">
        <f t="shared" si="0"/>
        <v>4.8388490907372557</v>
      </c>
      <c r="D19" s="5" t="s">
        <v>1361</v>
      </c>
      <c r="E19" s="5" t="s">
        <v>1240</v>
      </c>
      <c r="F19" s="5" t="s">
        <v>1396</v>
      </c>
      <c r="G19" s="5" t="s">
        <v>1241</v>
      </c>
      <c r="H19" s="10">
        <v>0.12973187772026962</v>
      </c>
      <c r="I19" s="5" t="s">
        <v>1387</v>
      </c>
    </row>
    <row r="20" spans="1:9" x14ac:dyDescent="0.3">
      <c r="A20" s="5" t="s">
        <v>66</v>
      </c>
      <c r="B20" s="8">
        <v>900000</v>
      </c>
      <c r="C20" s="9">
        <f t="shared" si="0"/>
        <v>5.9542425094393252</v>
      </c>
      <c r="D20" s="5" t="s">
        <v>1361</v>
      </c>
      <c r="E20" s="5" t="s">
        <v>1240</v>
      </c>
      <c r="F20" s="5" t="s">
        <v>1396</v>
      </c>
      <c r="G20" s="5" t="s">
        <v>1241</v>
      </c>
      <c r="H20" s="10">
        <v>0.22389984811476529</v>
      </c>
      <c r="I20" s="5" t="s">
        <v>1387</v>
      </c>
    </row>
    <row r="21" spans="1:9" x14ac:dyDescent="0.3">
      <c r="A21" s="5" t="s">
        <v>63</v>
      </c>
      <c r="B21" s="8">
        <v>58000</v>
      </c>
      <c r="C21" s="9">
        <f t="shared" si="0"/>
        <v>4.7634279935629369</v>
      </c>
      <c r="D21" s="5" t="s">
        <v>1361</v>
      </c>
      <c r="E21" s="5" t="s">
        <v>1240</v>
      </c>
      <c r="F21" s="5" t="s">
        <v>1396</v>
      </c>
      <c r="G21" s="5" t="s">
        <v>1254</v>
      </c>
      <c r="H21" s="10">
        <v>0.12973187772026962</v>
      </c>
      <c r="I21" s="5" t="s">
        <v>1383</v>
      </c>
    </row>
    <row r="22" spans="1:9" x14ac:dyDescent="0.3">
      <c r="A22" s="5" t="s">
        <v>66</v>
      </c>
      <c r="B22" s="8">
        <v>750000</v>
      </c>
      <c r="C22" s="9">
        <f t="shared" si="0"/>
        <v>5.8750612633917001</v>
      </c>
      <c r="D22" s="5" t="s">
        <v>1361</v>
      </c>
      <c r="E22" s="5" t="s">
        <v>1240</v>
      </c>
      <c r="F22" s="5" t="s">
        <v>1396</v>
      </c>
      <c r="G22" s="5" t="s">
        <v>1254</v>
      </c>
      <c r="H22" s="10">
        <v>0.22389984811476529</v>
      </c>
      <c r="I22" s="5" t="s">
        <v>1383</v>
      </c>
    </row>
    <row r="23" spans="1:9" x14ac:dyDescent="0.3">
      <c r="A23" s="5" t="s">
        <v>63</v>
      </c>
      <c r="B23" s="8">
        <v>50000</v>
      </c>
      <c r="C23" s="9">
        <f t="shared" si="0"/>
        <v>4.6989700043360187</v>
      </c>
      <c r="D23" s="5" t="s">
        <v>1361</v>
      </c>
      <c r="E23" s="5" t="s">
        <v>1272</v>
      </c>
      <c r="F23" s="5" t="s">
        <v>1397</v>
      </c>
      <c r="G23" s="5" t="s">
        <v>1255</v>
      </c>
      <c r="H23" s="10">
        <v>0.12973187772026962</v>
      </c>
      <c r="I23" s="5" t="s">
        <v>1383</v>
      </c>
    </row>
    <row r="24" spans="1:9" x14ac:dyDescent="0.3">
      <c r="A24" s="5" t="s">
        <v>66</v>
      </c>
      <c r="B24" s="8">
        <v>380000</v>
      </c>
      <c r="C24" s="9">
        <f t="shared" si="0"/>
        <v>5.5797835966168101</v>
      </c>
      <c r="D24" s="5" t="s">
        <v>1361</v>
      </c>
      <c r="E24" s="5" t="s">
        <v>1272</v>
      </c>
      <c r="F24" s="5" t="s">
        <v>1397</v>
      </c>
      <c r="G24" s="5" t="s">
        <v>1255</v>
      </c>
      <c r="H24" s="10">
        <v>0.22389984811476529</v>
      </c>
      <c r="I24" s="5" t="s">
        <v>1383</v>
      </c>
    </row>
    <row r="25" spans="1:9" x14ac:dyDescent="0.3">
      <c r="A25" s="5" t="s">
        <v>63</v>
      </c>
      <c r="B25" s="8">
        <v>100000</v>
      </c>
      <c r="C25" s="9">
        <f t="shared" si="0"/>
        <v>5</v>
      </c>
      <c r="D25" s="5" t="s">
        <v>1361</v>
      </c>
      <c r="E25" s="5" t="s">
        <v>1388</v>
      </c>
      <c r="F25" s="5" t="s">
        <v>1396</v>
      </c>
      <c r="G25" s="13" t="s">
        <v>1378</v>
      </c>
      <c r="H25" s="10">
        <v>0.12973187772026962</v>
      </c>
      <c r="I25" s="5" t="s">
        <v>1383</v>
      </c>
    </row>
    <row r="26" spans="1:9" x14ac:dyDescent="0.3">
      <c r="A26" s="5" t="s">
        <v>66</v>
      </c>
      <c r="B26" s="8">
        <v>1300000</v>
      </c>
      <c r="C26" s="9">
        <f t="shared" si="0"/>
        <v>6.1139433523068369</v>
      </c>
      <c r="D26" s="5" t="s">
        <v>1361</v>
      </c>
      <c r="E26" s="5" t="s">
        <v>1388</v>
      </c>
      <c r="F26" s="5" t="s">
        <v>1396</v>
      </c>
      <c r="G26" s="13" t="s">
        <v>1378</v>
      </c>
      <c r="H26" s="10">
        <v>0.22389984811476529</v>
      </c>
      <c r="I26" s="5" t="s">
        <v>1383</v>
      </c>
    </row>
    <row r="27" spans="1:9" x14ac:dyDescent="0.3">
      <c r="A27" s="5" t="s">
        <v>68</v>
      </c>
      <c r="B27" s="8">
        <v>6800</v>
      </c>
      <c r="C27" s="9">
        <f t="shared" si="0"/>
        <v>3.8325089127062362</v>
      </c>
      <c r="D27" s="5">
        <v>2.2999999999999998</v>
      </c>
      <c r="E27" s="5" t="s">
        <v>1257</v>
      </c>
      <c r="F27" s="5" t="s">
        <v>1397</v>
      </c>
      <c r="G27" s="5" t="s">
        <v>1241</v>
      </c>
      <c r="H27" s="10">
        <v>0.17072690582501973</v>
      </c>
      <c r="I27" s="5" t="s">
        <v>1387</v>
      </c>
    </row>
    <row r="28" spans="1:9" x14ac:dyDescent="0.3">
      <c r="A28" s="5" t="s">
        <v>68</v>
      </c>
      <c r="B28" s="8">
        <v>3900</v>
      </c>
      <c r="C28" s="9">
        <f t="shared" si="0"/>
        <v>3.5910646070264991</v>
      </c>
      <c r="D28" s="5">
        <v>2</v>
      </c>
      <c r="E28" s="5" t="s">
        <v>1267</v>
      </c>
      <c r="F28" s="5" t="s">
        <v>1396</v>
      </c>
      <c r="G28" s="5" t="s">
        <v>1258</v>
      </c>
      <c r="H28" s="10">
        <v>0.17072690582501973</v>
      </c>
      <c r="I28" s="5" t="s">
        <v>1383</v>
      </c>
    </row>
    <row r="29" spans="1:9" x14ac:dyDescent="0.3">
      <c r="A29" s="5" t="s">
        <v>70</v>
      </c>
      <c r="B29" s="8">
        <v>2200000</v>
      </c>
      <c r="C29" s="9">
        <f t="shared" si="0"/>
        <v>6.3424226808222066</v>
      </c>
      <c r="D29" s="5">
        <v>2</v>
      </c>
      <c r="E29" s="5" t="s">
        <v>1267</v>
      </c>
      <c r="F29" s="5" t="s">
        <v>1397</v>
      </c>
      <c r="G29" s="5" t="s">
        <v>1258</v>
      </c>
      <c r="I29" s="5" t="s">
        <v>1387</v>
      </c>
    </row>
    <row r="30" spans="1:9" x14ac:dyDescent="0.3">
      <c r="A30" s="5" t="s">
        <v>72</v>
      </c>
      <c r="B30" s="8">
        <v>4200</v>
      </c>
      <c r="C30" s="9">
        <f t="shared" si="0"/>
        <v>3.6232492903979003</v>
      </c>
      <c r="D30" s="5">
        <v>2.2999999999999998</v>
      </c>
      <c r="E30" s="5" t="s">
        <v>1240</v>
      </c>
      <c r="F30" s="5" t="s">
        <v>1396</v>
      </c>
      <c r="G30" s="5" t="s">
        <v>1241</v>
      </c>
      <c r="I30" s="5" t="s">
        <v>1387</v>
      </c>
    </row>
    <row r="31" spans="1:9" x14ac:dyDescent="0.3">
      <c r="A31" s="5" t="s">
        <v>74</v>
      </c>
      <c r="B31" s="8">
        <v>230</v>
      </c>
      <c r="C31" s="9">
        <f t="shared" si="0"/>
        <v>2.3617278360175931</v>
      </c>
      <c r="D31" s="5">
        <v>2.2999999999999998</v>
      </c>
      <c r="E31" s="5" t="s">
        <v>1240</v>
      </c>
      <c r="F31" s="5" t="s">
        <v>1396</v>
      </c>
      <c r="G31" s="5" t="s">
        <v>1241</v>
      </c>
      <c r="I31" s="5" t="s">
        <v>1387</v>
      </c>
    </row>
    <row r="32" spans="1:9" x14ac:dyDescent="0.3">
      <c r="A32" s="5" t="s">
        <v>76</v>
      </c>
      <c r="B32" s="8">
        <v>1500</v>
      </c>
      <c r="C32" s="9">
        <f t="shared" si="0"/>
        <v>3.1760912590556813</v>
      </c>
      <c r="D32" s="5" t="s">
        <v>1388</v>
      </c>
      <c r="E32" s="5" t="s">
        <v>1388</v>
      </c>
      <c r="F32" s="5" t="s">
        <v>1396</v>
      </c>
      <c r="G32" s="11" t="s">
        <v>1245</v>
      </c>
      <c r="H32" s="12"/>
      <c r="I32" s="5" t="s">
        <v>1387</v>
      </c>
    </row>
    <row r="33" spans="1:9" x14ac:dyDescent="0.3">
      <c r="A33" s="5" t="s">
        <v>78</v>
      </c>
      <c r="B33" s="8">
        <v>19000</v>
      </c>
      <c r="C33" s="9">
        <f t="shared" si="0"/>
        <v>4.2787536009528289</v>
      </c>
      <c r="D33" s="5">
        <v>2.2999999999999998</v>
      </c>
      <c r="E33" s="5" t="s">
        <v>1260</v>
      </c>
      <c r="F33" s="5" t="s">
        <v>1396</v>
      </c>
      <c r="G33" s="5" t="s">
        <v>1241</v>
      </c>
      <c r="I33" s="5" t="s">
        <v>1387</v>
      </c>
    </row>
    <row r="34" spans="1:9" x14ac:dyDescent="0.3">
      <c r="A34" s="5" t="s">
        <v>80</v>
      </c>
      <c r="B34" s="8">
        <v>110</v>
      </c>
      <c r="C34" s="9">
        <f t="shared" si="0"/>
        <v>2.0413926851582249</v>
      </c>
      <c r="D34" s="5">
        <v>2</v>
      </c>
      <c r="E34" s="5" t="s">
        <v>1261</v>
      </c>
      <c r="F34" s="5" t="s">
        <v>1396</v>
      </c>
      <c r="G34" s="5" t="s">
        <v>1246</v>
      </c>
      <c r="I34" s="5" t="s">
        <v>1387</v>
      </c>
    </row>
    <row r="35" spans="1:9" x14ac:dyDescent="0.3">
      <c r="A35" s="5" t="s">
        <v>82</v>
      </c>
      <c r="B35" s="8">
        <v>550</v>
      </c>
      <c r="C35" s="9">
        <f t="shared" si="0"/>
        <v>2.7403626894942437</v>
      </c>
      <c r="D35" s="5" t="s">
        <v>1388</v>
      </c>
      <c r="E35" s="5" t="s">
        <v>1388</v>
      </c>
      <c r="F35" s="5" t="s">
        <v>1396</v>
      </c>
      <c r="G35" s="5" t="s">
        <v>1249</v>
      </c>
      <c r="H35" s="10">
        <v>0.20736515963274826</v>
      </c>
      <c r="I35" s="5" t="s">
        <v>1387</v>
      </c>
    </row>
    <row r="36" spans="1:9" x14ac:dyDescent="0.3">
      <c r="A36" s="5" t="s">
        <v>82</v>
      </c>
      <c r="B36" s="8">
        <v>800</v>
      </c>
      <c r="C36" s="9">
        <f t="shared" si="0"/>
        <v>2.9030899869919438</v>
      </c>
      <c r="D36" s="5">
        <v>2</v>
      </c>
      <c r="E36" s="5" t="s">
        <v>1368</v>
      </c>
      <c r="F36" s="5" t="s">
        <v>1396</v>
      </c>
      <c r="G36" s="5" t="s">
        <v>1246</v>
      </c>
      <c r="H36" s="10">
        <v>0.20736515963274826</v>
      </c>
      <c r="I36" s="5" t="s">
        <v>1387</v>
      </c>
    </row>
    <row r="37" spans="1:9" x14ac:dyDescent="0.3">
      <c r="A37" s="5" t="s">
        <v>82</v>
      </c>
      <c r="B37" s="8">
        <v>310</v>
      </c>
      <c r="C37" s="9">
        <f t="shared" si="0"/>
        <v>2.4913616938342726</v>
      </c>
      <c r="D37" s="5">
        <v>2</v>
      </c>
      <c r="E37" s="5">
        <v>25</v>
      </c>
      <c r="F37" s="5" t="s">
        <v>1396</v>
      </c>
      <c r="G37" s="5" t="s">
        <v>1242</v>
      </c>
      <c r="H37" s="10">
        <v>0.20736515963274826</v>
      </c>
      <c r="I37" s="5" t="s">
        <v>1387</v>
      </c>
    </row>
    <row r="38" spans="1:9" x14ac:dyDescent="0.3">
      <c r="A38" s="5" t="s">
        <v>84</v>
      </c>
      <c r="B38" s="8">
        <v>6500</v>
      </c>
      <c r="C38" s="9">
        <f t="shared" si="0"/>
        <v>3.8129133566428557</v>
      </c>
      <c r="D38" s="5" t="s">
        <v>1388</v>
      </c>
      <c r="E38" s="5" t="s">
        <v>1388</v>
      </c>
      <c r="F38" s="5" t="s">
        <v>1396</v>
      </c>
      <c r="G38" s="5" t="s">
        <v>1249</v>
      </c>
      <c r="H38" s="10">
        <v>4.0332310824860017E-2</v>
      </c>
      <c r="I38" s="5" t="s">
        <v>1387</v>
      </c>
    </row>
    <row r="39" spans="1:9" x14ac:dyDescent="0.3">
      <c r="A39" s="5" t="s">
        <v>84</v>
      </c>
      <c r="B39" s="8">
        <v>5700</v>
      </c>
      <c r="C39" s="9">
        <f t="shared" si="0"/>
        <v>3.7558748556724915</v>
      </c>
      <c r="D39" s="5">
        <v>2</v>
      </c>
      <c r="E39" s="5" t="s">
        <v>1368</v>
      </c>
      <c r="F39" s="5" t="s">
        <v>1396</v>
      </c>
      <c r="G39" s="5" t="s">
        <v>1246</v>
      </c>
      <c r="H39" s="10">
        <v>4.0332310824860017E-2</v>
      </c>
      <c r="I39" s="5" t="s">
        <v>1387</v>
      </c>
    </row>
    <row r="40" spans="1:9" x14ac:dyDescent="0.3">
      <c r="A40" s="5" t="s">
        <v>86</v>
      </c>
      <c r="B40" s="8">
        <v>2600</v>
      </c>
      <c r="C40" s="9">
        <f t="shared" si="0"/>
        <v>3.4149733479708178</v>
      </c>
      <c r="D40" s="5" t="s">
        <v>1388</v>
      </c>
      <c r="E40" s="5" t="s">
        <v>1388</v>
      </c>
      <c r="F40" s="5" t="s">
        <v>1396</v>
      </c>
      <c r="G40" s="5" t="s">
        <v>1249</v>
      </c>
      <c r="I40" s="5" t="s">
        <v>1387</v>
      </c>
    </row>
    <row r="41" spans="1:9" x14ac:dyDescent="0.3">
      <c r="A41" s="5" t="s">
        <v>88</v>
      </c>
      <c r="B41" s="8">
        <v>3300</v>
      </c>
      <c r="C41" s="9">
        <f t="shared" si="0"/>
        <v>3.5185139398778875</v>
      </c>
      <c r="D41" s="5" t="s">
        <v>1388</v>
      </c>
      <c r="E41" s="5" t="s">
        <v>1388</v>
      </c>
      <c r="F41" s="5" t="s">
        <v>1397</v>
      </c>
      <c r="G41" s="11" t="s">
        <v>1245</v>
      </c>
      <c r="H41" s="12"/>
      <c r="I41" s="5" t="s">
        <v>1387</v>
      </c>
    </row>
    <row r="42" spans="1:9" x14ac:dyDescent="0.3">
      <c r="A42" s="5" t="s">
        <v>90</v>
      </c>
      <c r="B42" s="8">
        <v>2000000</v>
      </c>
      <c r="C42" s="9">
        <f t="shared" si="0"/>
        <v>6.3010299956639813</v>
      </c>
      <c r="D42" s="5" t="s">
        <v>1361</v>
      </c>
      <c r="E42" s="5" t="s">
        <v>1388</v>
      </c>
      <c r="F42" s="5" t="s">
        <v>1396</v>
      </c>
      <c r="G42" s="13" t="s">
        <v>1378</v>
      </c>
      <c r="I42" s="5" t="s">
        <v>1387</v>
      </c>
    </row>
    <row r="43" spans="1:9" x14ac:dyDescent="0.3">
      <c r="A43" s="5" t="s">
        <v>93</v>
      </c>
      <c r="B43" s="8">
        <v>12000000</v>
      </c>
      <c r="C43" s="9">
        <f t="shared" si="0"/>
        <v>7.0791812460476251</v>
      </c>
      <c r="D43" s="5" t="s">
        <v>1361</v>
      </c>
      <c r="E43" s="5" t="s">
        <v>1388</v>
      </c>
      <c r="F43" s="5" t="s">
        <v>1396</v>
      </c>
      <c r="G43" s="13" t="s">
        <v>1378</v>
      </c>
      <c r="I43" s="5" t="s">
        <v>1387</v>
      </c>
    </row>
    <row r="44" spans="1:9" x14ac:dyDescent="0.3">
      <c r="A44" s="5" t="s">
        <v>95</v>
      </c>
      <c r="B44" s="8">
        <v>220000</v>
      </c>
      <c r="C44" s="9">
        <f t="shared" si="0"/>
        <v>5.3424226808222066</v>
      </c>
      <c r="D44" s="5">
        <v>7</v>
      </c>
      <c r="E44" s="5" t="s">
        <v>1388</v>
      </c>
      <c r="F44" s="5" t="s">
        <v>1397</v>
      </c>
      <c r="G44" s="5" t="s">
        <v>1377</v>
      </c>
      <c r="I44" s="5" t="s">
        <v>1387</v>
      </c>
    </row>
    <row r="45" spans="1:9" x14ac:dyDescent="0.3">
      <c r="A45" s="5" t="s">
        <v>97</v>
      </c>
      <c r="B45" s="8">
        <v>0.02</v>
      </c>
      <c r="C45" s="9">
        <f t="shared" si="0"/>
        <v>-1.6989700043360187</v>
      </c>
      <c r="D45" s="5" t="s">
        <v>1262</v>
      </c>
      <c r="E45" s="5" t="s">
        <v>1369</v>
      </c>
      <c r="F45" s="5" t="s">
        <v>1396</v>
      </c>
      <c r="G45" s="5" t="s">
        <v>1242</v>
      </c>
      <c r="I45" s="5" t="s">
        <v>1387</v>
      </c>
    </row>
    <row r="46" spans="1:9" x14ac:dyDescent="0.3">
      <c r="A46" s="5" t="s">
        <v>99</v>
      </c>
      <c r="B46" s="8">
        <v>180000</v>
      </c>
      <c r="C46" s="9">
        <f t="shared" si="0"/>
        <v>5.2552725051033065</v>
      </c>
      <c r="D46" s="5" t="s">
        <v>1388</v>
      </c>
      <c r="E46" s="5" t="s">
        <v>1388</v>
      </c>
      <c r="F46" s="5" t="s">
        <v>1396</v>
      </c>
      <c r="G46" s="5" t="s">
        <v>1249</v>
      </c>
      <c r="I46" s="5" t="s">
        <v>1387</v>
      </c>
    </row>
    <row r="47" spans="1:9" x14ac:dyDescent="0.3">
      <c r="A47" s="5" t="s">
        <v>101</v>
      </c>
      <c r="B47" s="8">
        <v>4900</v>
      </c>
      <c r="C47" s="9">
        <f t="shared" si="0"/>
        <v>3.6901960800285138</v>
      </c>
      <c r="D47" s="5" t="s">
        <v>1361</v>
      </c>
      <c r="E47" s="5" t="s">
        <v>1240</v>
      </c>
      <c r="F47" s="5" t="s">
        <v>1396</v>
      </c>
      <c r="G47" s="5" t="s">
        <v>1241</v>
      </c>
      <c r="H47" s="10">
        <v>0.16915609639915735</v>
      </c>
      <c r="I47" s="5" t="s">
        <v>1387</v>
      </c>
    </row>
    <row r="48" spans="1:9" x14ac:dyDescent="0.3">
      <c r="A48" s="5" t="s">
        <v>104</v>
      </c>
      <c r="B48" s="8">
        <v>21000</v>
      </c>
      <c r="C48" s="9">
        <f t="shared" si="0"/>
        <v>4.3222192947339195</v>
      </c>
      <c r="D48" s="5" t="s">
        <v>1361</v>
      </c>
      <c r="E48" s="5" t="s">
        <v>1240</v>
      </c>
      <c r="F48" s="5" t="s">
        <v>1396</v>
      </c>
      <c r="G48" s="5" t="s">
        <v>1241</v>
      </c>
      <c r="I48" s="5" t="s">
        <v>1387</v>
      </c>
    </row>
    <row r="49" spans="1:9" x14ac:dyDescent="0.3">
      <c r="A49" s="5" t="s">
        <v>106</v>
      </c>
      <c r="B49" s="8">
        <v>130000</v>
      </c>
      <c r="C49" s="9">
        <f t="shared" si="0"/>
        <v>5.1139433523068369</v>
      </c>
      <c r="D49" s="5" t="s">
        <v>1361</v>
      </c>
      <c r="E49" s="5" t="s">
        <v>1240</v>
      </c>
      <c r="F49" s="5" t="s">
        <v>1396</v>
      </c>
      <c r="G49" s="5" t="s">
        <v>1241</v>
      </c>
      <c r="H49" s="10">
        <v>0.21286035127455813</v>
      </c>
      <c r="I49" s="5" t="s">
        <v>1387</v>
      </c>
    </row>
    <row r="50" spans="1:9" x14ac:dyDescent="0.3">
      <c r="A50" s="5" t="s">
        <v>101</v>
      </c>
      <c r="B50" s="8">
        <v>8500</v>
      </c>
      <c r="C50" s="9">
        <f t="shared" si="0"/>
        <v>3.9294189257142929</v>
      </c>
      <c r="D50" s="5" t="s">
        <v>1361</v>
      </c>
      <c r="E50" s="5" t="s">
        <v>1388</v>
      </c>
      <c r="F50" s="5" t="s">
        <v>1396</v>
      </c>
      <c r="G50" s="5" t="s">
        <v>1244</v>
      </c>
      <c r="H50" s="10">
        <v>0.16915609639915735</v>
      </c>
      <c r="I50" s="5" t="s">
        <v>1383</v>
      </c>
    </row>
    <row r="51" spans="1:9" x14ac:dyDescent="0.3">
      <c r="A51" s="5" t="s">
        <v>106</v>
      </c>
      <c r="B51" s="8">
        <v>65000</v>
      </c>
      <c r="C51" s="9">
        <f t="shared" si="0"/>
        <v>4.8129133566428557</v>
      </c>
      <c r="D51" s="5" t="s">
        <v>1361</v>
      </c>
      <c r="E51" s="5" t="s">
        <v>1388</v>
      </c>
      <c r="F51" s="5" t="s">
        <v>1396</v>
      </c>
      <c r="G51" s="5" t="s">
        <v>1244</v>
      </c>
      <c r="H51" s="10">
        <v>0.21286035127455813</v>
      </c>
      <c r="I51" s="5" t="s">
        <v>1383</v>
      </c>
    </row>
    <row r="52" spans="1:9" x14ac:dyDescent="0.3">
      <c r="A52" s="5" t="s">
        <v>108</v>
      </c>
      <c r="B52" s="8">
        <v>85000</v>
      </c>
      <c r="C52" s="9">
        <f t="shared" si="0"/>
        <v>4.9294189257142929</v>
      </c>
      <c r="D52" s="5" t="s">
        <v>1361</v>
      </c>
      <c r="E52" s="5" t="s">
        <v>1388</v>
      </c>
      <c r="F52" s="5" t="s">
        <v>1397</v>
      </c>
      <c r="G52" s="5" t="s">
        <v>1264</v>
      </c>
      <c r="I52" s="5" t="s">
        <v>1387</v>
      </c>
    </row>
    <row r="53" spans="1:9" x14ac:dyDescent="0.3">
      <c r="A53" s="5" t="s">
        <v>111</v>
      </c>
      <c r="B53" s="8">
        <v>1700000</v>
      </c>
      <c r="C53" s="9">
        <f t="shared" si="0"/>
        <v>6.2304489213782741</v>
      </c>
      <c r="D53" s="5">
        <v>7</v>
      </c>
      <c r="E53" s="5" t="s">
        <v>1388</v>
      </c>
      <c r="F53" s="5" t="s">
        <v>1397</v>
      </c>
      <c r="G53" s="5" t="s">
        <v>1264</v>
      </c>
      <c r="I53" s="5" t="s">
        <v>1387</v>
      </c>
    </row>
    <row r="54" spans="1:9" x14ac:dyDescent="0.3">
      <c r="A54" s="5" t="s">
        <v>113</v>
      </c>
      <c r="B54" s="8">
        <v>590000</v>
      </c>
      <c r="C54" s="9">
        <f t="shared" si="0"/>
        <v>5.7708520116421438</v>
      </c>
      <c r="D54" s="5" t="s">
        <v>1361</v>
      </c>
      <c r="E54" s="5" t="s">
        <v>1388</v>
      </c>
      <c r="F54" s="5" t="s">
        <v>1397</v>
      </c>
      <c r="G54" s="5" t="s">
        <v>1264</v>
      </c>
      <c r="I54" s="5" t="s">
        <v>1387</v>
      </c>
    </row>
    <row r="55" spans="1:9" x14ac:dyDescent="0.3">
      <c r="A55" s="5" t="s">
        <v>116</v>
      </c>
      <c r="B55" s="8">
        <v>2200000</v>
      </c>
      <c r="C55" s="9">
        <f t="shared" si="0"/>
        <v>6.3424226808222066</v>
      </c>
      <c r="D55" s="5" t="s">
        <v>1361</v>
      </c>
      <c r="E55" s="5" t="s">
        <v>1388</v>
      </c>
      <c r="F55" s="5" t="s">
        <v>1397</v>
      </c>
      <c r="G55" s="5" t="s">
        <v>1264</v>
      </c>
      <c r="I55" s="5" t="s">
        <v>1387</v>
      </c>
    </row>
    <row r="56" spans="1:9" x14ac:dyDescent="0.3">
      <c r="A56" s="5" t="s">
        <v>119</v>
      </c>
      <c r="B56" s="8">
        <v>1700000</v>
      </c>
      <c r="C56" s="9">
        <f t="shared" si="0"/>
        <v>6.2304489213782741</v>
      </c>
      <c r="D56" s="5">
        <v>7</v>
      </c>
      <c r="E56" s="5" t="s">
        <v>1388</v>
      </c>
      <c r="F56" s="5" t="s">
        <v>1397</v>
      </c>
      <c r="G56" s="5" t="s">
        <v>1264</v>
      </c>
      <c r="I56" s="5" t="s">
        <v>1387</v>
      </c>
    </row>
    <row r="57" spans="1:9" x14ac:dyDescent="0.3">
      <c r="A57" s="5" t="s">
        <v>121</v>
      </c>
      <c r="B57" s="8">
        <v>3200000</v>
      </c>
      <c r="C57" s="9">
        <f t="shared" si="0"/>
        <v>6.5051499783199063</v>
      </c>
      <c r="D57" s="5" t="s">
        <v>1361</v>
      </c>
      <c r="E57" s="5" t="s">
        <v>1388</v>
      </c>
      <c r="F57" s="5" t="s">
        <v>1397</v>
      </c>
      <c r="G57" s="5" t="s">
        <v>1264</v>
      </c>
      <c r="I57" s="5" t="s">
        <v>1387</v>
      </c>
    </row>
    <row r="58" spans="1:9" x14ac:dyDescent="0.3">
      <c r="A58" s="5" t="s">
        <v>124</v>
      </c>
      <c r="B58" s="8">
        <v>0.1</v>
      </c>
      <c r="C58" s="9">
        <f t="shared" si="0"/>
        <v>-1</v>
      </c>
      <c r="D58" s="5">
        <v>2</v>
      </c>
      <c r="E58" s="5" t="s">
        <v>1388</v>
      </c>
      <c r="F58" s="5" t="s">
        <v>1396</v>
      </c>
      <c r="G58" s="5" t="s">
        <v>1265</v>
      </c>
      <c r="I58" s="5" t="s">
        <v>1387</v>
      </c>
    </row>
    <row r="59" spans="1:9" x14ac:dyDescent="0.3">
      <c r="A59" s="5" t="s">
        <v>126</v>
      </c>
      <c r="B59" s="8">
        <v>9</v>
      </c>
      <c r="C59" s="9">
        <f t="shared" si="0"/>
        <v>0.95424250943932487</v>
      </c>
      <c r="D59" s="5" t="s">
        <v>1266</v>
      </c>
      <c r="E59" s="5" t="s">
        <v>1372</v>
      </c>
      <c r="F59" s="5" t="s">
        <v>1396</v>
      </c>
      <c r="G59" s="5" t="s">
        <v>1242</v>
      </c>
      <c r="I59" s="5" t="s">
        <v>1387</v>
      </c>
    </row>
    <row r="60" spans="1:9" x14ac:dyDescent="0.3">
      <c r="A60" s="5" t="s">
        <v>128</v>
      </c>
      <c r="B60" s="8">
        <v>540000</v>
      </c>
      <c r="C60" s="9">
        <f t="shared" si="0"/>
        <v>5.7323937598229682</v>
      </c>
      <c r="D60" s="5">
        <v>2</v>
      </c>
      <c r="E60" s="5" t="s">
        <v>1267</v>
      </c>
      <c r="F60" s="5" t="s">
        <v>1397</v>
      </c>
      <c r="G60" s="5" t="s">
        <v>1258</v>
      </c>
      <c r="I60" s="5" t="s">
        <v>1387</v>
      </c>
    </row>
    <row r="61" spans="1:9" x14ac:dyDescent="0.3">
      <c r="A61" s="5" t="s">
        <v>130</v>
      </c>
      <c r="B61" s="8">
        <v>100000</v>
      </c>
      <c r="C61" s="9">
        <f t="shared" si="0"/>
        <v>5</v>
      </c>
      <c r="D61" s="5">
        <v>2</v>
      </c>
      <c r="E61" s="5" t="s">
        <v>1368</v>
      </c>
      <c r="F61" s="5" t="s">
        <v>1396</v>
      </c>
      <c r="G61" s="5" t="s">
        <v>1246</v>
      </c>
      <c r="I61" s="5" t="s">
        <v>1387</v>
      </c>
    </row>
    <row r="62" spans="1:9" x14ac:dyDescent="0.3">
      <c r="A62" s="5" t="s">
        <v>132</v>
      </c>
      <c r="B62" s="8">
        <v>180000</v>
      </c>
      <c r="C62" s="9">
        <f t="shared" si="0"/>
        <v>5.2552725051033065</v>
      </c>
      <c r="D62" s="5">
        <v>2</v>
      </c>
      <c r="E62" s="5" t="s">
        <v>1308</v>
      </c>
      <c r="F62" s="5" t="s">
        <v>1396</v>
      </c>
      <c r="G62" s="5" t="s">
        <v>1246</v>
      </c>
      <c r="I62" s="5" t="s">
        <v>1387</v>
      </c>
    </row>
    <row r="63" spans="1:9" x14ac:dyDescent="0.3">
      <c r="A63" s="5" t="s">
        <v>134</v>
      </c>
      <c r="B63" s="8">
        <v>340000</v>
      </c>
      <c r="C63" s="9">
        <f t="shared" si="0"/>
        <v>5.5314789170422554</v>
      </c>
      <c r="D63" s="5" t="s">
        <v>1361</v>
      </c>
      <c r="E63" s="5" t="s">
        <v>1363</v>
      </c>
      <c r="F63" s="5" t="s">
        <v>1396</v>
      </c>
      <c r="G63" s="5" t="s">
        <v>1268</v>
      </c>
      <c r="I63" s="5" t="s">
        <v>1387</v>
      </c>
    </row>
    <row r="64" spans="1:9" x14ac:dyDescent="0.3">
      <c r="A64" s="5" t="s">
        <v>137</v>
      </c>
      <c r="B64" s="8">
        <v>160000</v>
      </c>
      <c r="C64" s="9">
        <f t="shared" si="0"/>
        <v>5.204119982655925</v>
      </c>
      <c r="D64" s="5" t="s">
        <v>1388</v>
      </c>
      <c r="E64" s="5" t="s">
        <v>1267</v>
      </c>
      <c r="F64" s="5" t="s">
        <v>1397</v>
      </c>
      <c r="G64" s="5" t="s">
        <v>1258</v>
      </c>
      <c r="I64" s="5" t="s">
        <v>1387</v>
      </c>
    </row>
    <row r="65" spans="1:9" x14ac:dyDescent="0.3">
      <c r="A65" s="5" t="s">
        <v>139</v>
      </c>
      <c r="B65" s="8">
        <v>370000</v>
      </c>
      <c r="C65" s="9">
        <f t="shared" si="0"/>
        <v>5.568201724066995</v>
      </c>
      <c r="D65" s="5">
        <v>2</v>
      </c>
      <c r="E65" s="5">
        <v>20</v>
      </c>
      <c r="F65" s="5" t="s">
        <v>1396</v>
      </c>
      <c r="G65" s="5" t="s">
        <v>1269</v>
      </c>
      <c r="I65" s="5" t="s">
        <v>1387</v>
      </c>
    </row>
    <row r="66" spans="1:9" x14ac:dyDescent="0.3">
      <c r="A66" s="5" t="s">
        <v>141</v>
      </c>
      <c r="B66" s="8">
        <v>23000</v>
      </c>
      <c r="C66" s="9">
        <f t="shared" si="0"/>
        <v>4.3617278360175931</v>
      </c>
      <c r="D66" s="5" t="s">
        <v>1361</v>
      </c>
      <c r="E66" s="5" t="s">
        <v>1388</v>
      </c>
      <c r="F66" s="5" t="s">
        <v>1397</v>
      </c>
      <c r="G66" s="5" t="s">
        <v>1256</v>
      </c>
      <c r="I66" s="5" t="s">
        <v>1387</v>
      </c>
    </row>
    <row r="67" spans="1:9" x14ac:dyDescent="0.3">
      <c r="A67" s="5" t="s">
        <v>144</v>
      </c>
      <c r="B67" s="8">
        <v>46000</v>
      </c>
      <c r="C67" s="9">
        <f t="shared" ref="C67:C130" si="1">LOG10(B67)</f>
        <v>4.6627578316815743</v>
      </c>
      <c r="D67" s="5" t="s">
        <v>1361</v>
      </c>
      <c r="E67" s="5" t="s">
        <v>1388</v>
      </c>
      <c r="F67" s="5" t="s">
        <v>1397</v>
      </c>
      <c r="G67" s="5" t="s">
        <v>1256</v>
      </c>
      <c r="I67" s="5" t="s">
        <v>1387</v>
      </c>
    </row>
    <row r="68" spans="1:9" x14ac:dyDescent="0.3">
      <c r="A68" s="5" t="s">
        <v>146</v>
      </c>
      <c r="B68" s="8">
        <v>24000</v>
      </c>
      <c r="C68" s="9">
        <f t="shared" si="1"/>
        <v>4.3802112417116064</v>
      </c>
      <c r="D68" s="5" t="s">
        <v>1361</v>
      </c>
      <c r="E68" s="14" t="s">
        <v>1371</v>
      </c>
      <c r="F68" s="5" t="s">
        <v>1397</v>
      </c>
      <c r="G68" s="5" t="s">
        <v>1256</v>
      </c>
      <c r="H68" s="10">
        <v>2.4580521064216015E-2</v>
      </c>
      <c r="I68" s="5" t="s">
        <v>1387</v>
      </c>
    </row>
    <row r="69" spans="1:9" x14ac:dyDescent="0.3">
      <c r="A69" s="5" t="s">
        <v>149</v>
      </c>
      <c r="B69" s="8">
        <v>61000</v>
      </c>
      <c r="C69" s="9">
        <f t="shared" si="1"/>
        <v>4.7853298350107671</v>
      </c>
      <c r="D69" s="5" t="s">
        <v>1361</v>
      </c>
      <c r="E69" s="14" t="s">
        <v>1371</v>
      </c>
      <c r="F69" s="5" t="s">
        <v>1397</v>
      </c>
      <c r="G69" s="5" t="s">
        <v>1256</v>
      </c>
      <c r="H69" s="10">
        <v>2.0827815629804378E-2</v>
      </c>
      <c r="I69" s="5" t="s">
        <v>1387</v>
      </c>
    </row>
    <row r="70" spans="1:9" x14ac:dyDescent="0.3">
      <c r="A70" s="5" t="s">
        <v>146</v>
      </c>
      <c r="B70" s="8">
        <v>26000</v>
      </c>
      <c r="C70" s="9">
        <f t="shared" si="1"/>
        <v>4.4149733479708182</v>
      </c>
      <c r="D70" s="5" t="s">
        <v>1361</v>
      </c>
      <c r="E70" s="14" t="s">
        <v>1371</v>
      </c>
      <c r="F70" s="5" t="s">
        <v>1397</v>
      </c>
      <c r="G70" s="5" t="s">
        <v>1256</v>
      </c>
      <c r="H70" s="10">
        <v>2.4580521064216015E-2</v>
      </c>
      <c r="I70" s="5" t="s">
        <v>1387</v>
      </c>
    </row>
    <row r="71" spans="1:9" x14ac:dyDescent="0.3">
      <c r="A71" s="5" t="s">
        <v>149</v>
      </c>
      <c r="B71" s="8">
        <v>57000</v>
      </c>
      <c r="C71" s="9">
        <f t="shared" si="1"/>
        <v>4.7558748556724915</v>
      </c>
      <c r="D71" s="5" t="s">
        <v>1361</v>
      </c>
      <c r="E71" s="14" t="s">
        <v>1371</v>
      </c>
      <c r="F71" s="5" t="s">
        <v>1397</v>
      </c>
      <c r="G71" s="5" t="s">
        <v>1256</v>
      </c>
      <c r="H71" s="10">
        <v>2.0827815629804378E-2</v>
      </c>
      <c r="I71" s="5" t="s">
        <v>1387</v>
      </c>
    </row>
    <row r="72" spans="1:9" x14ac:dyDescent="0.3">
      <c r="A72" s="5" t="s">
        <v>1270</v>
      </c>
      <c r="B72" s="8">
        <v>42000</v>
      </c>
      <c r="C72" s="9">
        <f t="shared" si="1"/>
        <v>4.6232492903979008</v>
      </c>
      <c r="D72" s="5">
        <v>2</v>
      </c>
      <c r="E72" s="14" t="s">
        <v>1371</v>
      </c>
      <c r="F72" s="5" t="s">
        <v>1397</v>
      </c>
      <c r="G72" s="5" t="s">
        <v>1271</v>
      </c>
      <c r="I72" s="5" t="s">
        <v>1387</v>
      </c>
    </row>
    <row r="73" spans="1:9" x14ac:dyDescent="0.3">
      <c r="A73" s="5" t="s">
        <v>151</v>
      </c>
      <c r="B73" s="8">
        <v>150</v>
      </c>
      <c r="C73" s="9">
        <f t="shared" si="1"/>
        <v>2.1760912590556813</v>
      </c>
      <c r="D73" s="5" t="s">
        <v>1361</v>
      </c>
      <c r="E73" s="5" t="s">
        <v>1240</v>
      </c>
      <c r="F73" s="5" t="s">
        <v>1396</v>
      </c>
      <c r="G73" s="5" t="s">
        <v>1241</v>
      </c>
      <c r="H73" s="10">
        <v>0.68591958275015086</v>
      </c>
      <c r="I73" s="5" t="s">
        <v>1387</v>
      </c>
    </row>
    <row r="74" spans="1:9" x14ac:dyDescent="0.3">
      <c r="A74" s="5" t="s">
        <v>154</v>
      </c>
      <c r="B74" s="8">
        <v>2400</v>
      </c>
      <c r="C74" s="9">
        <f t="shared" si="1"/>
        <v>3.3802112417116059</v>
      </c>
      <c r="D74" s="5" t="s">
        <v>1361</v>
      </c>
      <c r="E74" s="5" t="s">
        <v>1240</v>
      </c>
      <c r="F74" s="5" t="s">
        <v>1396</v>
      </c>
      <c r="G74" s="5" t="s">
        <v>1241</v>
      </c>
      <c r="H74" s="10">
        <v>0.17185385231242506</v>
      </c>
      <c r="I74" s="5" t="s">
        <v>1387</v>
      </c>
    </row>
    <row r="75" spans="1:9" x14ac:dyDescent="0.3">
      <c r="A75" s="5" t="s">
        <v>156</v>
      </c>
      <c r="B75" s="8">
        <v>5300</v>
      </c>
      <c r="C75" s="9">
        <f t="shared" si="1"/>
        <v>3.7242758696007892</v>
      </c>
      <c r="D75" s="5" t="s">
        <v>1361</v>
      </c>
      <c r="E75" s="5" t="s">
        <v>1240</v>
      </c>
      <c r="F75" s="5" t="s">
        <v>1396</v>
      </c>
      <c r="G75" s="5" t="s">
        <v>1241</v>
      </c>
      <c r="H75" s="10">
        <v>0.34909295511853894</v>
      </c>
      <c r="I75" s="5" t="s">
        <v>1387</v>
      </c>
    </row>
    <row r="76" spans="1:9" x14ac:dyDescent="0.3">
      <c r="A76" s="5" t="s">
        <v>151</v>
      </c>
      <c r="B76" s="8">
        <v>1400</v>
      </c>
      <c r="C76" s="9">
        <f t="shared" si="1"/>
        <v>3.1461280356782382</v>
      </c>
      <c r="D76" s="5" t="s">
        <v>1361</v>
      </c>
      <c r="E76" s="5" t="s">
        <v>1388</v>
      </c>
      <c r="F76" s="5" t="s">
        <v>1396</v>
      </c>
      <c r="G76" s="5" t="s">
        <v>1244</v>
      </c>
      <c r="H76" s="10">
        <v>0.68591958275015086</v>
      </c>
      <c r="I76" s="5" t="s">
        <v>1383</v>
      </c>
    </row>
    <row r="77" spans="1:9" x14ac:dyDescent="0.3">
      <c r="A77" s="5" t="s">
        <v>154</v>
      </c>
      <c r="B77" s="8">
        <v>4200</v>
      </c>
      <c r="C77" s="9">
        <f t="shared" si="1"/>
        <v>3.6232492903979003</v>
      </c>
      <c r="D77" s="5" t="s">
        <v>1361</v>
      </c>
      <c r="E77" s="5" t="s">
        <v>1388</v>
      </c>
      <c r="F77" s="5" t="s">
        <v>1396</v>
      </c>
      <c r="G77" s="5" t="s">
        <v>1244</v>
      </c>
      <c r="H77" s="10">
        <v>0.17185385231242506</v>
      </c>
      <c r="I77" s="5" t="s">
        <v>1383</v>
      </c>
    </row>
    <row r="78" spans="1:9" x14ac:dyDescent="0.3">
      <c r="A78" s="5" t="s">
        <v>156</v>
      </c>
      <c r="B78" s="8">
        <v>7000</v>
      </c>
      <c r="C78" s="9">
        <f t="shared" si="1"/>
        <v>3.8450980400142569</v>
      </c>
      <c r="D78" s="5" t="s">
        <v>1361</v>
      </c>
      <c r="E78" s="5" t="s">
        <v>1388</v>
      </c>
      <c r="F78" s="5" t="s">
        <v>1396</v>
      </c>
      <c r="G78" s="5" t="s">
        <v>1244</v>
      </c>
      <c r="H78" s="10">
        <v>0.34909295511853894</v>
      </c>
      <c r="I78" s="5" t="s">
        <v>1383</v>
      </c>
    </row>
    <row r="79" spans="1:9" x14ac:dyDescent="0.3">
      <c r="A79" s="5" t="s">
        <v>156</v>
      </c>
      <c r="B79" s="8">
        <v>24000</v>
      </c>
      <c r="C79" s="9">
        <f t="shared" si="1"/>
        <v>4.3802112417116064</v>
      </c>
      <c r="D79" s="5" t="s">
        <v>1361</v>
      </c>
      <c r="E79" s="5" t="s">
        <v>1363</v>
      </c>
      <c r="F79" s="5" t="s">
        <v>1396</v>
      </c>
      <c r="G79" s="5" t="s">
        <v>1268</v>
      </c>
      <c r="H79" s="10">
        <v>0.34909295511853894</v>
      </c>
      <c r="I79" s="5" t="s">
        <v>1383</v>
      </c>
    </row>
    <row r="80" spans="1:9" x14ac:dyDescent="0.3">
      <c r="A80" s="5" t="s">
        <v>158</v>
      </c>
      <c r="B80" s="8">
        <v>19000</v>
      </c>
      <c r="C80" s="9">
        <f t="shared" si="1"/>
        <v>4.2787536009528289</v>
      </c>
      <c r="D80" s="5">
        <v>2</v>
      </c>
      <c r="E80" s="5">
        <v>20</v>
      </c>
      <c r="F80" s="5" t="s">
        <v>1396</v>
      </c>
      <c r="G80" s="5" t="s">
        <v>1269</v>
      </c>
      <c r="I80" s="5" t="s">
        <v>1386</v>
      </c>
    </row>
    <row r="81" spans="1:9" x14ac:dyDescent="0.3">
      <c r="A81" s="5" t="s">
        <v>160</v>
      </c>
      <c r="B81" s="8">
        <v>150000</v>
      </c>
      <c r="C81" s="9">
        <f t="shared" si="1"/>
        <v>5.1760912590556813</v>
      </c>
      <c r="D81" s="5" t="s">
        <v>1361</v>
      </c>
      <c r="E81" s="5" t="s">
        <v>1388</v>
      </c>
      <c r="F81" s="5" t="s">
        <v>1396</v>
      </c>
      <c r="G81" s="5" t="s">
        <v>1244</v>
      </c>
      <c r="I81" s="5" t="s">
        <v>1386</v>
      </c>
    </row>
    <row r="82" spans="1:9" x14ac:dyDescent="0.3">
      <c r="A82" s="5" t="s">
        <v>163</v>
      </c>
      <c r="B82" s="8">
        <v>3700000</v>
      </c>
      <c r="C82" s="9">
        <f t="shared" si="1"/>
        <v>6.568201724066995</v>
      </c>
      <c r="D82" s="5" t="s">
        <v>1361</v>
      </c>
      <c r="E82" s="5" t="s">
        <v>1388</v>
      </c>
      <c r="F82" s="5" t="s">
        <v>1396</v>
      </c>
      <c r="G82" s="5" t="s">
        <v>1244</v>
      </c>
      <c r="I82" s="5" t="s">
        <v>1386</v>
      </c>
    </row>
    <row r="83" spans="1:9" x14ac:dyDescent="0.3">
      <c r="A83" s="5" t="s">
        <v>165</v>
      </c>
      <c r="B83" s="8">
        <v>130000</v>
      </c>
      <c r="C83" s="9">
        <f t="shared" si="1"/>
        <v>5.1139433523068369</v>
      </c>
      <c r="D83" s="5" t="s">
        <v>1361</v>
      </c>
      <c r="E83" s="5" t="s">
        <v>1272</v>
      </c>
      <c r="F83" s="5" t="s">
        <v>1397</v>
      </c>
      <c r="G83" s="5" t="s">
        <v>1255</v>
      </c>
      <c r="I83" s="5" t="s">
        <v>1386</v>
      </c>
    </row>
    <row r="84" spans="1:9" x14ac:dyDescent="0.3">
      <c r="A84" s="5" t="s">
        <v>168</v>
      </c>
      <c r="B84" s="8">
        <v>680000</v>
      </c>
      <c r="C84" s="9">
        <f t="shared" si="1"/>
        <v>5.8325089127062366</v>
      </c>
      <c r="D84" s="5" t="s">
        <v>1361</v>
      </c>
      <c r="E84" s="5" t="s">
        <v>1364</v>
      </c>
      <c r="F84" s="5" t="s">
        <v>1397</v>
      </c>
      <c r="G84" s="5" t="s">
        <v>1255</v>
      </c>
      <c r="I84" s="5" t="s">
        <v>1386</v>
      </c>
    </row>
    <row r="85" spans="1:9" x14ac:dyDescent="0.3">
      <c r="A85" s="5" t="s">
        <v>170</v>
      </c>
      <c r="B85" s="8">
        <v>1100000</v>
      </c>
      <c r="C85" s="9">
        <f t="shared" si="1"/>
        <v>6.0413926851582254</v>
      </c>
      <c r="D85" s="5" t="s">
        <v>1361</v>
      </c>
      <c r="E85" s="5" t="s">
        <v>1388</v>
      </c>
      <c r="F85" s="5" t="s">
        <v>1396</v>
      </c>
      <c r="G85" s="13" t="s">
        <v>1378</v>
      </c>
      <c r="I85" s="5" t="s">
        <v>1386</v>
      </c>
    </row>
    <row r="86" spans="1:9" x14ac:dyDescent="0.3">
      <c r="A86" s="5" t="s">
        <v>173</v>
      </c>
      <c r="B86" s="8">
        <v>7900000</v>
      </c>
      <c r="C86" s="9">
        <f t="shared" si="1"/>
        <v>6.8976270912904418</v>
      </c>
      <c r="D86" s="5" t="s">
        <v>1361</v>
      </c>
      <c r="E86" s="5" t="s">
        <v>1388</v>
      </c>
      <c r="F86" s="5" t="s">
        <v>1396</v>
      </c>
      <c r="G86" s="13" t="s">
        <v>1378</v>
      </c>
      <c r="I86" s="5" t="s">
        <v>1386</v>
      </c>
    </row>
    <row r="87" spans="1:9" x14ac:dyDescent="0.3">
      <c r="A87" s="5" t="s">
        <v>175</v>
      </c>
      <c r="B87" s="8">
        <v>42000</v>
      </c>
      <c r="C87" s="9">
        <f t="shared" si="1"/>
        <v>4.6232492903979008</v>
      </c>
      <c r="D87" s="5">
        <v>2.2999999999999998</v>
      </c>
      <c r="E87" s="5" t="s">
        <v>1240</v>
      </c>
      <c r="F87" s="5" t="s">
        <v>1396</v>
      </c>
      <c r="G87" s="5" t="s">
        <v>1241</v>
      </c>
      <c r="I87" s="5" t="s">
        <v>1386</v>
      </c>
    </row>
    <row r="88" spans="1:9" x14ac:dyDescent="0.3">
      <c r="A88" s="5" t="s">
        <v>177</v>
      </c>
      <c r="B88" s="8">
        <v>2700000</v>
      </c>
      <c r="C88" s="9">
        <f t="shared" si="1"/>
        <v>6.4313637641589869</v>
      </c>
      <c r="D88" s="5" t="s">
        <v>1361</v>
      </c>
      <c r="E88" s="5" t="s">
        <v>1388</v>
      </c>
      <c r="F88" s="5" t="s">
        <v>1397</v>
      </c>
      <c r="G88" s="5" t="s">
        <v>1264</v>
      </c>
      <c r="I88" s="5" t="s">
        <v>1386</v>
      </c>
    </row>
    <row r="89" spans="1:9" x14ac:dyDescent="0.3">
      <c r="A89" s="5" t="s">
        <v>180</v>
      </c>
      <c r="B89" s="8">
        <v>37000</v>
      </c>
      <c r="C89" s="9">
        <f t="shared" si="1"/>
        <v>4.568201724066995</v>
      </c>
      <c r="D89" s="5">
        <v>2</v>
      </c>
      <c r="E89" s="5">
        <v>20</v>
      </c>
      <c r="F89" s="5" t="s">
        <v>1396</v>
      </c>
      <c r="G89" s="5" t="s">
        <v>1269</v>
      </c>
      <c r="I89" s="5" t="s">
        <v>1386</v>
      </c>
    </row>
    <row r="90" spans="1:9" x14ac:dyDescent="0.3">
      <c r="A90" s="5" t="s">
        <v>182</v>
      </c>
      <c r="B90" s="8">
        <v>6200</v>
      </c>
      <c r="C90" s="9">
        <f t="shared" si="1"/>
        <v>3.7923916894982539</v>
      </c>
      <c r="D90" s="5" t="s">
        <v>1361</v>
      </c>
      <c r="E90" s="5" t="s">
        <v>1240</v>
      </c>
      <c r="F90" s="5" t="s">
        <v>1396</v>
      </c>
      <c r="G90" s="5" t="s">
        <v>1241</v>
      </c>
      <c r="I90" s="5" t="s">
        <v>1386</v>
      </c>
    </row>
    <row r="91" spans="1:9" x14ac:dyDescent="0.3">
      <c r="A91" s="5" t="s">
        <v>185</v>
      </c>
      <c r="B91" s="8">
        <v>12000</v>
      </c>
      <c r="C91" s="9">
        <f t="shared" si="1"/>
        <v>4.0791812460476251</v>
      </c>
      <c r="D91" s="5" t="s">
        <v>1361</v>
      </c>
      <c r="E91" s="5" t="s">
        <v>1240</v>
      </c>
      <c r="F91" s="5" t="s">
        <v>1396</v>
      </c>
      <c r="G91" s="5" t="s">
        <v>1241</v>
      </c>
      <c r="I91" s="5" t="s">
        <v>1386</v>
      </c>
    </row>
    <row r="92" spans="1:9" x14ac:dyDescent="0.3">
      <c r="A92" s="5" t="s">
        <v>187</v>
      </c>
      <c r="B92" s="8">
        <v>170000</v>
      </c>
      <c r="C92" s="9">
        <f t="shared" si="1"/>
        <v>5.2304489213782741</v>
      </c>
      <c r="D92" s="5" t="s">
        <v>1361</v>
      </c>
      <c r="E92" s="5" t="s">
        <v>1240</v>
      </c>
      <c r="F92" s="5" t="s">
        <v>1396</v>
      </c>
      <c r="G92" s="5" t="s">
        <v>1241</v>
      </c>
      <c r="I92" s="5" t="s">
        <v>1386</v>
      </c>
    </row>
    <row r="93" spans="1:9" x14ac:dyDescent="0.3">
      <c r="A93" s="5" t="s">
        <v>189</v>
      </c>
      <c r="B93" s="8">
        <v>120000</v>
      </c>
      <c r="C93" s="9">
        <f t="shared" si="1"/>
        <v>5.0791812460476251</v>
      </c>
      <c r="D93" s="5" t="s">
        <v>1361</v>
      </c>
      <c r="E93" s="5" t="s">
        <v>1272</v>
      </c>
      <c r="F93" s="5" t="s">
        <v>1397</v>
      </c>
      <c r="G93" s="5" t="s">
        <v>1255</v>
      </c>
      <c r="I93" s="5" t="s">
        <v>1386</v>
      </c>
    </row>
    <row r="94" spans="1:9" x14ac:dyDescent="0.3">
      <c r="A94" s="5" t="s">
        <v>192</v>
      </c>
      <c r="B94" s="8">
        <v>870000</v>
      </c>
      <c r="C94" s="9">
        <f t="shared" si="1"/>
        <v>5.9395192526186182</v>
      </c>
      <c r="D94" s="5">
        <v>2</v>
      </c>
      <c r="E94" s="5" t="s">
        <v>1267</v>
      </c>
      <c r="F94" s="5" t="s">
        <v>1397</v>
      </c>
      <c r="G94" s="5" t="s">
        <v>1258</v>
      </c>
      <c r="I94" s="5" t="s">
        <v>1386</v>
      </c>
    </row>
    <row r="95" spans="1:9" x14ac:dyDescent="0.3">
      <c r="A95" s="5" t="s">
        <v>194</v>
      </c>
      <c r="B95" s="8">
        <v>10</v>
      </c>
      <c r="C95" s="9">
        <f t="shared" si="1"/>
        <v>1</v>
      </c>
      <c r="D95" s="5">
        <v>2</v>
      </c>
      <c r="E95" s="5" t="s">
        <v>1388</v>
      </c>
      <c r="F95" s="5" t="s">
        <v>1396</v>
      </c>
      <c r="G95" s="5" t="s">
        <v>1265</v>
      </c>
      <c r="I95" s="5" t="s">
        <v>1386</v>
      </c>
    </row>
    <row r="96" spans="1:9" x14ac:dyDescent="0.3">
      <c r="A96" s="5" t="s">
        <v>196</v>
      </c>
      <c r="B96" s="8">
        <v>10000</v>
      </c>
      <c r="C96" s="9">
        <f t="shared" si="1"/>
        <v>4</v>
      </c>
      <c r="D96" s="5">
        <v>2.2999999999999998</v>
      </c>
      <c r="E96" s="5" t="s">
        <v>1240</v>
      </c>
      <c r="F96" s="5" t="s">
        <v>1397</v>
      </c>
      <c r="G96" s="5" t="s">
        <v>1241</v>
      </c>
      <c r="I96" s="5" t="s">
        <v>1386</v>
      </c>
    </row>
    <row r="97" spans="1:9" x14ac:dyDescent="0.3">
      <c r="A97" s="5" t="s">
        <v>198</v>
      </c>
      <c r="B97" s="8">
        <v>59000</v>
      </c>
      <c r="C97" s="9">
        <f t="shared" si="1"/>
        <v>4.7708520116421438</v>
      </c>
      <c r="D97" s="5">
        <v>2</v>
      </c>
      <c r="E97" s="5" t="s">
        <v>1267</v>
      </c>
      <c r="F97" s="5" t="s">
        <v>1397</v>
      </c>
      <c r="G97" s="5" t="s">
        <v>1258</v>
      </c>
      <c r="I97" s="5" t="s">
        <v>1386</v>
      </c>
    </row>
    <row r="98" spans="1:9" x14ac:dyDescent="0.3">
      <c r="A98" s="5" t="s">
        <v>200</v>
      </c>
      <c r="B98" s="8">
        <v>200</v>
      </c>
      <c r="C98" s="9">
        <f t="shared" si="1"/>
        <v>2.3010299956639813</v>
      </c>
      <c r="D98" s="5" t="s">
        <v>1388</v>
      </c>
      <c r="E98" s="5" t="s">
        <v>1388</v>
      </c>
      <c r="F98" s="5" t="s">
        <v>1397</v>
      </c>
      <c r="G98" s="11" t="s">
        <v>1245</v>
      </c>
      <c r="H98" s="12"/>
      <c r="I98" s="5" t="s">
        <v>1386</v>
      </c>
    </row>
    <row r="99" spans="1:9" x14ac:dyDescent="0.3">
      <c r="A99" s="5" t="s">
        <v>202</v>
      </c>
      <c r="B99" s="8">
        <v>800000</v>
      </c>
      <c r="C99" s="9">
        <f t="shared" si="1"/>
        <v>5.9030899869919438</v>
      </c>
      <c r="D99" s="5" t="s">
        <v>1388</v>
      </c>
      <c r="E99" s="5" t="s">
        <v>1388</v>
      </c>
      <c r="F99" s="5" t="s">
        <v>1396</v>
      </c>
      <c r="G99" s="5" t="s">
        <v>1249</v>
      </c>
      <c r="I99" s="5" t="s">
        <v>1386</v>
      </c>
    </row>
    <row r="100" spans="1:9" x14ac:dyDescent="0.3">
      <c r="A100" s="5" t="s">
        <v>204</v>
      </c>
      <c r="B100" s="8">
        <v>440000</v>
      </c>
      <c r="C100" s="9">
        <f t="shared" si="1"/>
        <v>5.6434526764861879</v>
      </c>
      <c r="D100" s="5" t="s">
        <v>1361</v>
      </c>
      <c r="E100" s="5" t="s">
        <v>1240</v>
      </c>
      <c r="F100" s="5" t="s">
        <v>1396</v>
      </c>
      <c r="G100" s="5" t="s">
        <v>1241</v>
      </c>
      <c r="I100" s="5" t="s">
        <v>1386</v>
      </c>
    </row>
    <row r="101" spans="1:9" x14ac:dyDescent="0.3">
      <c r="A101" s="5" t="s">
        <v>207</v>
      </c>
      <c r="B101" s="8">
        <v>2300000</v>
      </c>
      <c r="C101" s="9">
        <f t="shared" si="1"/>
        <v>6.3617278360175931</v>
      </c>
      <c r="D101" s="5" t="s">
        <v>1361</v>
      </c>
      <c r="E101" s="5" t="s">
        <v>1240</v>
      </c>
      <c r="F101" s="5" t="s">
        <v>1396</v>
      </c>
      <c r="G101" s="5" t="s">
        <v>1241</v>
      </c>
      <c r="I101" s="5" t="s">
        <v>1386</v>
      </c>
    </row>
    <row r="102" spans="1:9" x14ac:dyDescent="0.3">
      <c r="A102" s="5" t="s">
        <v>209</v>
      </c>
      <c r="B102" s="8">
        <v>780000</v>
      </c>
      <c r="C102" s="9">
        <f t="shared" si="1"/>
        <v>5.8920946026904808</v>
      </c>
      <c r="D102" s="5">
        <v>2.2999999999999998</v>
      </c>
      <c r="E102" s="5" t="s">
        <v>1274</v>
      </c>
      <c r="F102" s="5" t="s">
        <v>1397</v>
      </c>
      <c r="G102" s="5" t="s">
        <v>1241</v>
      </c>
      <c r="I102" s="5" t="s">
        <v>1386</v>
      </c>
    </row>
    <row r="103" spans="1:9" x14ac:dyDescent="0.3">
      <c r="A103" s="5" t="s">
        <v>211</v>
      </c>
      <c r="B103" s="8">
        <v>180000</v>
      </c>
      <c r="C103" s="9">
        <f t="shared" si="1"/>
        <v>5.2552725051033065</v>
      </c>
      <c r="D103" s="5">
        <v>2.2999999999999998</v>
      </c>
      <c r="E103" s="5" t="s">
        <v>1240</v>
      </c>
      <c r="F103" s="5" t="s">
        <v>1396</v>
      </c>
      <c r="G103" s="5" t="s">
        <v>1241</v>
      </c>
      <c r="I103" s="5" t="s">
        <v>1386</v>
      </c>
    </row>
    <row r="104" spans="1:9" x14ac:dyDescent="0.3">
      <c r="A104" s="5" t="s">
        <v>213</v>
      </c>
      <c r="B104" s="8">
        <v>300000</v>
      </c>
      <c r="C104" s="9">
        <f t="shared" si="1"/>
        <v>5.4771212547196626</v>
      </c>
      <c r="D104" s="5">
        <v>2</v>
      </c>
      <c r="E104" s="5" t="s">
        <v>1370</v>
      </c>
      <c r="F104" s="5" t="s">
        <v>1396</v>
      </c>
      <c r="G104" s="5" t="s">
        <v>1246</v>
      </c>
      <c r="I104" s="5" t="s">
        <v>1386</v>
      </c>
    </row>
    <row r="105" spans="1:9" ht="16.149999999999999" x14ac:dyDescent="0.3">
      <c r="A105" s="5" t="s">
        <v>215</v>
      </c>
      <c r="B105" s="8">
        <v>9900000</v>
      </c>
      <c r="C105" s="9">
        <f t="shared" si="1"/>
        <v>6.9956351945975497</v>
      </c>
      <c r="D105" s="5" t="s">
        <v>1388</v>
      </c>
      <c r="E105" s="5" t="s">
        <v>1388</v>
      </c>
      <c r="F105" s="5" t="s">
        <v>1400</v>
      </c>
      <c r="G105" s="5" t="s">
        <v>1275</v>
      </c>
      <c r="I105" s="5" t="s">
        <v>1386</v>
      </c>
    </row>
    <row r="106" spans="1:9" x14ac:dyDescent="0.3">
      <c r="A106" s="5" t="s">
        <v>217</v>
      </c>
      <c r="B106" s="8">
        <v>300</v>
      </c>
      <c r="C106" s="9">
        <f t="shared" si="1"/>
        <v>2.4771212547196626</v>
      </c>
      <c r="D106" s="5">
        <v>2</v>
      </c>
      <c r="E106" s="5" t="s">
        <v>1388</v>
      </c>
      <c r="F106" s="5" t="s">
        <v>1396</v>
      </c>
      <c r="G106" s="5" t="s">
        <v>1265</v>
      </c>
      <c r="I106" s="5" t="s">
        <v>1386</v>
      </c>
    </row>
    <row r="107" spans="1:9" x14ac:dyDescent="0.3">
      <c r="A107" s="5" t="s">
        <v>219</v>
      </c>
      <c r="B107" s="8">
        <v>270</v>
      </c>
      <c r="C107" s="9">
        <f t="shared" si="1"/>
        <v>2.4313637641589874</v>
      </c>
      <c r="D107" s="5">
        <v>2</v>
      </c>
      <c r="E107" s="5" t="s">
        <v>1388</v>
      </c>
      <c r="F107" s="5" t="s">
        <v>1396</v>
      </c>
      <c r="G107" s="5" t="s">
        <v>1265</v>
      </c>
      <c r="I107" s="5" t="s">
        <v>1386</v>
      </c>
    </row>
    <row r="108" spans="1:9" x14ac:dyDescent="0.3">
      <c r="A108" s="5" t="s">
        <v>221</v>
      </c>
      <c r="B108" s="8">
        <v>0.1</v>
      </c>
      <c r="C108" s="9">
        <f t="shared" si="1"/>
        <v>-1</v>
      </c>
      <c r="D108" s="5" t="s">
        <v>1388</v>
      </c>
      <c r="E108" s="5" t="s">
        <v>1308</v>
      </c>
      <c r="F108" s="5" t="s">
        <v>1396</v>
      </c>
      <c r="G108" s="5" t="s">
        <v>1246</v>
      </c>
      <c r="I108" s="5" t="s">
        <v>1386</v>
      </c>
    </row>
    <row r="109" spans="1:9" x14ac:dyDescent="0.3">
      <c r="A109" s="5" t="s">
        <v>223</v>
      </c>
      <c r="B109" s="8">
        <v>1000000</v>
      </c>
      <c r="C109" s="9">
        <f t="shared" si="1"/>
        <v>6</v>
      </c>
      <c r="D109" s="5" t="s">
        <v>1388</v>
      </c>
      <c r="E109" s="5" t="s">
        <v>1388</v>
      </c>
      <c r="F109" s="5" t="s">
        <v>1396</v>
      </c>
      <c r="G109" s="5" t="s">
        <v>1249</v>
      </c>
      <c r="I109" s="5" t="s">
        <v>1386</v>
      </c>
    </row>
    <row r="110" spans="1:9" x14ac:dyDescent="0.3">
      <c r="A110" s="5" t="s">
        <v>225</v>
      </c>
      <c r="B110" s="8">
        <v>14</v>
      </c>
      <c r="C110" s="9">
        <f t="shared" si="1"/>
        <v>1.146128035678238</v>
      </c>
      <c r="D110" s="5" t="s">
        <v>1388</v>
      </c>
      <c r="E110" s="5" t="s">
        <v>1388</v>
      </c>
      <c r="F110" s="5" t="s">
        <v>1396</v>
      </c>
      <c r="G110" s="5" t="s">
        <v>1249</v>
      </c>
      <c r="H110" s="10">
        <v>4.1860213003118693E-2</v>
      </c>
      <c r="I110" s="5" t="s">
        <v>1386</v>
      </c>
    </row>
    <row r="111" spans="1:9" x14ac:dyDescent="0.3">
      <c r="A111" s="5" t="s">
        <v>225</v>
      </c>
      <c r="B111" s="8">
        <v>17</v>
      </c>
      <c r="C111" s="9">
        <f t="shared" si="1"/>
        <v>1.2304489213782739</v>
      </c>
      <c r="D111" s="5">
        <v>2</v>
      </c>
      <c r="E111" s="5" t="s">
        <v>1308</v>
      </c>
      <c r="F111" s="5" t="s">
        <v>1396</v>
      </c>
      <c r="G111" s="5" t="s">
        <v>1246</v>
      </c>
      <c r="H111" s="10">
        <v>4.1860213003118693E-2</v>
      </c>
      <c r="I111" s="5" t="s">
        <v>1386</v>
      </c>
    </row>
    <row r="112" spans="1:9" x14ac:dyDescent="0.3">
      <c r="A112" s="5" t="s">
        <v>225</v>
      </c>
      <c r="B112" s="8">
        <v>15</v>
      </c>
      <c r="C112" s="9">
        <f t="shared" si="1"/>
        <v>1.1760912590556813</v>
      </c>
      <c r="D112" s="5">
        <v>2</v>
      </c>
      <c r="E112" s="5" t="s">
        <v>1276</v>
      </c>
      <c r="F112" s="5" t="s">
        <v>1396</v>
      </c>
      <c r="G112" s="5" t="s">
        <v>1242</v>
      </c>
      <c r="H112" s="10">
        <v>4.1860213003118693E-2</v>
      </c>
      <c r="I112" s="5" t="s">
        <v>1386</v>
      </c>
    </row>
    <row r="113" spans="1:9" ht="16.149999999999999" x14ac:dyDescent="0.3">
      <c r="A113" s="5" t="s">
        <v>225</v>
      </c>
      <c r="B113" s="8">
        <v>17</v>
      </c>
      <c r="C113" s="9">
        <f t="shared" si="1"/>
        <v>1.2304489213782739</v>
      </c>
      <c r="D113" s="5">
        <v>2</v>
      </c>
      <c r="E113" s="5">
        <v>20</v>
      </c>
      <c r="F113" s="5" t="s">
        <v>1400</v>
      </c>
      <c r="G113" s="5" t="s">
        <v>1277</v>
      </c>
      <c r="H113" s="10">
        <v>4.1860213003118693E-2</v>
      </c>
      <c r="I113" s="5" t="s">
        <v>1386</v>
      </c>
    </row>
    <row r="114" spans="1:9" x14ac:dyDescent="0.3">
      <c r="A114" s="5" t="s">
        <v>227</v>
      </c>
      <c r="B114" s="8">
        <v>77000</v>
      </c>
      <c r="C114" s="9">
        <f t="shared" si="1"/>
        <v>4.8864907251724823</v>
      </c>
      <c r="D114" s="5" t="s">
        <v>1361</v>
      </c>
      <c r="E114" s="5" t="s">
        <v>1278</v>
      </c>
      <c r="F114" s="5" t="s">
        <v>1397</v>
      </c>
      <c r="G114" s="5" t="s">
        <v>1279</v>
      </c>
      <c r="I114" s="5" t="s">
        <v>1386</v>
      </c>
    </row>
    <row r="115" spans="1:9" x14ac:dyDescent="0.3">
      <c r="A115" s="5" t="s">
        <v>230</v>
      </c>
      <c r="B115" s="8">
        <v>160000</v>
      </c>
      <c r="C115" s="9">
        <f t="shared" si="1"/>
        <v>5.204119982655925</v>
      </c>
      <c r="D115" s="5" t="s">
        <v>1388</v>
      </c>
      <c r="E115" s="5" t="s">
        <v>1388</v>
      </c>
      <c r="F115" s="5" t="s">
        <v>1397</v>
      </c>
      <c r="G115" s="11" t="s">
        <v>1245</v>
      </c>
      <c r="H115" s="12"/>
      <c r="I115" s="5" t="s">
        <v>1386</v>
      </c>
    </row>
    <row r="116" spans="1:9" x14ac:dyDescent="0.3">
      <c r="A116" s="5" t="s">
        <v>232</v>
      </c>
      <c r="B116" s="8">
        <v>10000</v>
      </c>
      <c r="C116" s="9">
        <f t="shared" si="1"/>
        <v>4</v>
      </c>
      <c r="D116" s="5" t="s">
        <v>1388</v>
      </c>
      <c r="E116" s="5" t="s">
        <v>1388</v>
      </c>
      <c r="F116" s="5" t="s">
        <v>1396</v>
      </c>
      <c r="G116" s="11" t="s">
        <v>1245</v>
      </c>
      <c r="H116" s="12"/>
      <c r="I116" s="5" t="s">
        <v>1386</v>
      </c>
    </row>
    <row r="117" spans="1:9" x14ac:dyDescent="0.3">
      <c r="A117" s="5" t="s">
        <v>234</v>
      </c>
      <c r="B117" s="8">
        <v>14000</v>
      </c>
      <c r="C117" s="9">
        <f t="shared" si="1"/>
        <v>4.1461280356782382</v>
      </c>
      <c r="D117" s="5" t="s">
        <v>1388</v>
      </c>
      <c r="E117" s="5" t="s">
        <v>1388</v>
      </c>
      <c r="F117" s="5" t="s">
        <v>1396</v>
      </c>
      <c r="G117" s="5" t="s">
        <v>1249</v>
      </c>
      <c r="I117" s="5" t="s">
        <v>1386</v>
      </c>
    </row>
    <row r="118" spans="1:9" x14ac:dyDescent="0.3">
      <c r="A118" s="5" t="s">
        <v>236</v>
      </c>
      <c r="B118" s="8">
        <v>10000</v>
      </c>
      <c r="C118" s="9">
        <f t="shared" si="1"/>
        <v>4</v>
      </c>
      <c r="D118" s="5" t="s">
        <v>1361</v>
      </c>
      <c r="E118" s="5" t="s">
        <v>1388</v>
      </c>
      <c r="F118" s="5" t="s">
        <v>1396</v>
      </c>
      <c r="G118" s="11" t="s">
        <v>1245</v>
      </c>
      <c r="H118" s="12"/>
      <c r="I118" s="5" t="s">
        <v>1386</v>
      </c>
    </row>
    <row r="119" spans="1:9" x14ac:dyDescent="0.3">
      <c r="A119" s="5" t="s">
        <v>239</v>
      </c>
      <c r="B119" s="8">
        <v>27000</v>
      </c>
      <c r="C119" s="9">
        <f t="shared" si="1"/>
        <v>4.4313637641589869</v>
      </c>
      <c r="D119" s="5" t="s">
        <v>1361</v>
      </c>
      <c r="E119" s="5" t="s">
        <v>1388</v>
      </c>
      <c r="F119" s="5" t="s">
        <v>1396</v>
      </c>
      <c r="G119" s="11" t="s">
        <v>1245</v>
      </c>
      <c r="H119" s="12"/>
      <c r="I119" s="5" t="s">
        <v>1386</v>
      </c>
    </row>
    <row r="120" spans="1:9" x14ac:dyDescent="0.3">
      <c r="A120" s="5" t="s">
        <v>241</v>
      </c>
      <c r="B120" s="8">
        <v>100000</v>
      </c>
      <c r="C120" s="9">
        <f t="shared" si="1"/>
        <v>5</v>
      </c>
      <c r="D120" s="5" t="s">
        <v>1361</v>
      </c>
      <c r="E120" s="5" t="s">
        <v>1388</v>
      </c>
      <c r="F120" s="5" t="s">
        <v>1396</v>
      </c>
      <c r="G120" s="11" t="s">
        <v>1245</v>
      </c>
      <c r="H120" s="12"/>
      <c r="I120" s="5" t="s">
        <v>1386</v>
      </c>
    </row>
    <row r="121" spans="1:9" x14ac:dyDescent="0.3">
      <c r="A121" s="5" t="s">
        <v>243</v>
      </c>
      <c r="B121" s="8">
        <v>8300</v>
      </c>
      <c r="C121" s="9">
        <f t="shared" si="1"/>
        <v>3.9190780923760737</v>
      </c>
      <c r="D121" s="5" t="s">
        <v>1361</v>
      </c>
      <c r="E121" s="5" t="s">
        <v>1388</v>
      </c>
      <c r="F121" s="5" t="s">
        <v>1397</v>
      </c>
      <c r="G121" s="11" t="s">
        <v>1245</v>
      </c>
      <c r="H121" s="12"/>
      <c r="I121" s="5" t="s">
        <v>1386</v>
      </c>
    </row>
    <row r="122" spans="1:9" x14ac:dyDescent="0.3">
      <c r="A122" s="5" t="s">
        <v>246</v>
      </c>
      <c r="B122" s="8">
        <v>26000</v>
      </c>
      <c r="C122" s="9">
        <f t="shared" si="1"/>
        <v>4.4149733479708182</v>
      </c>
      <c r="D122" s="5" t="s">
        <v>1243</v>
      </c>
      <c r="E122" s="5" t="s">
        <v>1388</v>
      </c>
      <c r="F122" s="5" t="s">
        <v>1396</v>
      </c>
      <c r="G122" s="11" t="s">
        <v>1245</v>
      </c>
      <c r="H122" s="12"/>
      <c r="I122" s="5" t="s">
        <v>1386</v>
      </c>
    </row>
    <row r="123" spans="1:9" x14ac:dyDescent="0.3">
      <c r="A123" s="5" t="s">
        <v>248</v>
      </c>
      <c r="B123" s="8">
        <v>480</v>
      </c>
      <c r="C123" s="9">
        <f t="shared" si="1"/>
        <v>2.6812412373755872</v>
      </c>
      <c r="D123" s="15" t="s">
        <v>1395</v>
      </c>
      <c r="E123" s="5" t="s">
        <v>1280</v>
      </c>
      <c r="F123" s="5" t="s">
        <v>1396</v>
      </c>
      <c r="G123" s="5" t="s">
        <v>1281</v>
      </c>
      <c r="H123" s="10">
        <v>6.8525727362873101E-2</v>
      </c>
      <c r="I123" s="5" t="s">
        <v>1386</v>
      </c>
    </row>
    <row r="124" spans="1:9" x14ac:dyDescent="0.3">
      <c r="A124" s="5" t="s">
        <v>248</v>
      </c>
      <c r="B124" s="8">
        <v>600</v>
      </c>
      <c r="C124" s="9">
        <f t="shared" si="1"/>
        <v>2.7781512503836434</v>
      </c>
      <c r="D124" s="5" t="s">
        <v>1388</v>
      </c>
      <c r="E124" s="5" t="s">
        <v>1260</v>
      </c>
      <c r="F124" s="5" t="s">
        <v>1396</v>
      </c>
      <c r="G124" s="5" t="s">
        <v>1282</v>
      </c>
      <c r="H124" s="10">
        <v>6.8525727362873101E-2</v>
      </c>
      <c r="I124" s="5" t="s">
        <v>1386</v>
      </c>
    </row>
    <row r="125" spans="1:9" x14ac:dyDescent="0.3">
      <c r="A125" s="5" t="s">
        <v>250</v>
      </c>
      <c r="B125" s="8">
        <v>560</v>
      </c>
      <c r="C125" s="9">
        <f t="shared" si="1"/>
        <v>2.7481880270062002</v>
      </c>
      <c r="D125" s="5" t="s">
        <v>1388</v>
      </c>
      <c r="E125" s="5" t="s">
        <v>1260</v>
      </c>
      <c r="F125" s="5" t="s">
        <v>1396</v>
      </c>
      <c r="G125" s="5" t="s">
        <v>1282</v>
      </c>
      <c r="I125" s="5" t="s">
        <v>1386</v>
      </c>
    </row>
    <row r="126" spans="1:9" x14ac:dyDescent="0.3">
      <c r="A126" s="5" t="s">
        <v>252</v>
      </c>
      <c r="B126" s="8">
        <v>2200</v>
      </c>
      <c r="C126" s="9">
        <f t="shared" si="1"/>
        <v>3.3424226808222062</v>
      </c>
      <c r="D126" s="5" t="s">
        <v>1388</v>
      </c>
      <c r="E126" s="5" t="s">
        <v>1260</v>
      </c>
      <c r="F126" s="5" t="s">
        <v>1396</v>
      </c>
      <c r="G126" s="5" t="s">
        <v>1282</v>
      </c>
      <c r="I126" s="5" t="s">
        <v>1386</v>
      </c>
    </row>
    <row r="127" spans="1:9" x14ac:dyDescent="0.3">
      <c r="A127" s="5" t="s">
        <v>254</v>
      </c>
      <c r="B127" s="8">
        <v>1400</v>
      </c>
      <c r="C127" s="9">
        <f t="shared" si="1"/>
        <v>3.1461280356782382</v>
      </c>
      <c r="D127" s="5" t="s">
        <v>1388</v>
      </c>
      <c r="E127" s="5" t="s">
        <v>1260</v>
      </c>
      <c r="F127" s="5" t="s">
        <v>1396</v>
      </c>
      <c r="G127" s="5" t="s">
        <v>1282</v>
      </c>
      <c r="I127" s="5" t="s">
        <v>1386</v>
      </c>
    </row>
    <row r="128" spans="1:9" x14ac:dyDescent="0.3">
      <c r="A128" s="5" t="s">
        <v>256</v>
      </c>
      <c r="B128" s="8">
        <v>410000</v>
      </c>
      <c r="C128" s="9">
        <f t="shared" si="1"/>
        <v>5.6127838567197355</v>
      </c>
      <c r="D128" s="5" t="s">
        <v>1361</v>
      </c>
      <c r="E128" s="5" t="s">
        <v>1388</v>
      </c>
      <c r="F128" s="5" t="s">
        <v>1397</v>
      </c>
      <c r="G128" s="5" t="s">
        <v>1283</v>
      </c>
      <c r="I128" s="5" t="s">
        <v>1386</v>
      </c>
    </row>
    <row r="129" spans="1:9" x14ac:dyDescent="0.3">
      <c r="A129" s="5" t="s">
        <v>259</v>
      </c>
      <c r="B129" s="8">
        <v>28000</v>
      </c>
      <c r="C129" s="9">
        <f t="shared" si="1"/>
        <v>4.4471580313422194</v>
      </c>
      <c r="D129" s="5" t="s">
        <v>1361</v>
      </c>
      <c r="E129" s="5" t="s">
        <v>1388</v>
      </c>
      <c r="F129" s="5" t="s">
        <v>1397</v>
      </c>
      <c r="G129" s="5" t="s">
        <v>1283</v>
      </c>
      <c r="I129" s="5" t="s">
        <v>1386</v>
      </c>
    </row>
    <row r="130" spans="1:9" x14ac:dyDescent="0.3">
      <c r="A130" s="5" t="s">
        <v>262</v>
      </c>
      <c r="B130" s="8">
        <v>16000</v>
      </c>
      <c r="C130" s="9">
        <f t="shared" si="1"/>
        <v>4.204119982655925</v>
      </c>
      <c r="D130" s="5" t="s">
        <v>1361</v>
      </c>
      <c r="E130" s="5" t="s">
        <v>1388</v>
      </c>
      <c r="F130" s="5" t="s">
        <v>1397</v>
      </c>
      <c r="G130" s="5" t="s">
        <v>1284</v>
      </c>
      <c r="I130" s="5" t="s">
        <v>1386</v>
      </c>
    </row>
    <row r="131" spans="1:9" x14ac:dyDescent="0.3">
      <c r="A131" s="5" t="s">
        <v>265</v>
      </c>
      <c r="B131" s="8">
        <v>4400</v>
      </c>
      <c r="C131" s="9">
        <f t="shared" ref="C131:C194" si="2">LOG10(B131)</f>
        <v>3.6434526764861874</v>
      </c>
      <c r="D131" s="5" t="s">
        <v>1361</v>
      </c>
      <c r="E131" s="5" t="s">
        <v>1388</v>
      </c>
      <c r="F131" s="5" t="s">
        <v>1397</v>
      </c>
      <c r="G131" s="5" t="s">
        <v>1285</v>
      </c>
      <c r="I131" s="5" t="s">
        <v>1386</v>
      </c>
    </row>
    <row r="132" spans="1:9" x14ac:dyDescent="0.3">
      <c r="A132" s="5" t="s">
        <v>268</v>
      </c>
      <c r="B132" s="8">
        <v>300000</v>
      </c>
      <c r="C132" s="9">
        <f t="shared" si="2"/>
        <v>5.4771212547196626</v>
      </c>
      <c r="D132" s="5" t="s">
        <v>1361</v>
      </c>
      <c r="E132" s="5">
        <v>20</v>
      </c>
      <c r="F132" s="5" t="s">
        <v>1397</v>
      </c>
      <c r="G132" s="5" t="s">
        <v>1286</v>
      </c>
      <c r="H132" s="10">
        <v>0.41367631282469713</v>
      </c>
      <c r="I132" s="5" t="s">
        <v>1386</v>
      </c>
    </row>
    <row r="133" spans="1:9" x14ac:dyDescent="0.3">
      <c r="A133" s="5" t="s">
        <v>268</v>
      </c>
      <c r="B133" s="8">
        <v>78000</v>
      </c>
      <c r="C133" s="9">
        <f t="shared" si="2"/>
        <v>4.8920946026904808</v>
      </c>
      <c r="D133" s="5" t="s">
        <v>1361</v>
      </c>
      <c r="E133" s="5">
        <v>25</v>
      </c>
      <c r="F133" s="5" t="s">
        <v>1396</v>
      </c>
      <c r="G133" s="5" t="s">
        <v>1287</v>
      </c>
      <c r="H133" s="10">
        <v>0.41367631282469713</v>
      </c>
      <c r="I133" s="5" t="s">
        <v>1386</v>
      </c>
    </row>
    <row r="134" spans="1:9" x14ac:dyDescent="0.3">
      <c r="A134" s="5" t="s">
        <v>271</v>
      </c>
      <c r="B134" s="8">
        <v>93000</v>
      </c>
      <c r="C134" s="9">
        <f t="shared" si="2"/>
        <v>4.9684829485539348</v>
      </c>
      <c r="D134" s="5" t="s">
        <v>1361</v>
      </c>
      <c r="E134" s="5" t="s">
        <v>1308</v>
      </c>
      <c r="F134" s="5" t="s">
        <v>1397</v>
      </c>
      <c r="G134" s="5" t="s">
        <v>1279</v>
      </c>
      <c r="I134" s="5" t="s">
        <v>1386</v>
      </c>
    </row>
    <row r="135" spans="1:9" x14ac:dyDescent="0.3">
      <c r="A135" s="5" t="s">
        <v>274</v>
      </c>
      <c r="B135" s="8">
        <v>82000</v>
      </c>
      <c r="C135" s="9">
        <f t="shared" si="2"/>
        <v>4.9138138523837167</v>
      </c>
      <c r="D135" s="5" t="s">
        <v>1361</v>
      </c>
      <c r="E135" s="5" t="s">
        <v>1308</v>
      </c>
      <c r="F135" s="5" t="s">
        <v>1397</v>
      </c>
      <c r="G135" s="5" t="s">
        <v>1279</v>
      </c>
      <c r="I135" s="5" t="s">
        <v>1386</v>
      </c>
    </row>
    <row r="136" spans="1:9" x14ac:dyDescent="0.3">
      <c r="A136" s="5" t="s">
        <v>276</v>
      </c>
      <c r="B136" s="8">
        <v>490</v>
      </c>
      <c r="C136" s="9">
        <f t="shared" si="2"/>
        <v>2.6901960800285138</v>
      </c>
      <c r="D136" s="5">
        <v>2.2999999999999998</v>
      </c>
      <c r="E136" s="5" t="s">
        <v>1260</v>
      </c>
      <c r="F136" s="5" t="s">
        <v>1396</v>
      </c>
      <c r="G136" s="5" t="s">
        <v>1241</v>
      </c>
      <c r="I136" s="5" t="s">
        <v>1386</v>
      </c>
    </row>
    <row r="137" spans="1:9" x14ac:dyDescent="0.3">
      <c r="A137" s="5" t="s">
        <v>278</v>
      </c>
      <c r="B137" s="8">
        <v>180</v>
      </c>
      <c r="C137" s="9">
        <f t="shared" si="2"/>
        <v>2.255272505103306</v>
      </c>
      <c r="D137" s="5" t="s">
        <v>1361</v>
      </c>
      <c r="E137" s="5" t="s">
        <v>1260</v>
      </c>
      <c r="F137" s="5" t="s">
        <v>1396</v>
      </c>
      <c r="G137" s="5" t="s">
        <v>1241</v>
      </c>
      <c r="I137" s="5" t="s">
        <v>1386</v>
      </c>
    </row>
    <row r="138" spans="1:9" x14ac:dyDescent="0.3">
      <c r="A138" s="5" t="s">
        <v>281</v>
      </c>
      <c r="B138" s="8">
        <v>620</v>
      </c>
      <c r="C138" s="9">
        <f t="shared" si="2"/>
        <v>2.7923916894982539</v>
      </c>
      <c r="D138" s="5" t="s">
        <v>1361</v>
      </c>
      <c r="E138" s="5" t="s">
        <v>1260</v>
      </c>
      <c r="F138" s="5" t="s">
        <v>1396</v>
      </c>
      <c r="G138" s="5" t="s">
        <v>1241</v>
      </c>
      <c r="I138" s="5" t="s">
        <v>1386</v>
      </c>
    </row>
    <row r="139" spans="1:9" x14ac:dyDescent="0.3">
      <c r="A139" s="5" t="s">
        <v>283</v>
      </c>
      <c r="B139" s="8">
        <v>160</v>
      </c>
      <c r="C139" s="9">
        <f t="shared" si="2"/>
        <v>2.2041199826559246</v>
      </c>
      <c r="D139" s="5">
        <v>2.2999999999999998</v>
      </c>
      <c r="E139" s="5" t="s">
        <v>1288</v>
      </c>
      <c r="F139" s="5" t="s">
        <v>1396</v>
      </c>
      <c r="G139" s="5" t="s">
        <v>1289</v>
      </c>
      <c r="I139" s="5" t="s">
        <v>1386</v>
      </c>
    </row>
    <row r="140" spans="1:9" x14ac:dyDescent="0.3">
      <c r="A140" s="5" t="s">
        <v>285</v>
      </c>
      <c r="B140" s="8">
        <v>200</v>
      </c>
      <c r="C140" s="9">
        <f t="shared" si="2"/>
        <v>2.3010299956639813</v>
      </c>
      <c r="D140" s="5">
        <v>8</v>
      </c>
      <c r="E140" s="5">
        <v>20</v>
      </c>
      <c r="F140" s="5" t="s">
        <v>1396</v>
      </c>
      <c r="G140" s="5" t="s">
        <v>1290</v>
      </c>
      <c r="I140" s="5" t="s">
        <v>1386</v>
      </c>
    </row>
    <row r="141" spans="1:9" x14ac:dyDescent="0.3">
      <c r="A141" s="5" t="s">
        <v>287</v>
      </c>
      <c r="B141" s="8">
        <v>1.2</v>
      </c>
      <c r="C141" s="9">
        <f t="shared" si="2"/>
        <v>7.9181246047624818E-2</v>
      </c>
      <c r="D141" s="5" t="s">
        <v>1361</v>
      </c>
      <c r="E141" s="5" t="s">
        <v>1308</v>
      </c>
      <c r="F141" s="5" t="s">
        <v>1396</v>
      </c>
      <c r="G141" s="5" t="s">
        <v>1279</v>
      </c>
      <c r="I141" s="5" t="s">
        <v>1386</v>
      </c>
    </row>
    <row r="142" spans="1:9" x14ac:dyDescent="0.3">
      <c r="A142" s="5" t="s">
        <v>290</v>
      </c>
      <c r="B142" s="8">
        <v>8500</v>
      </c>
      <c r="C142" s="9">
        <f t="shared" si="2"/>
        <v>3.9294189257142929</v>
      </c>
      <c r="D142" s="5" t="s">
        <v>1361</v>
      </c>
      <c r="E142" s="5" t="s">
        <v>1308</v>
      </c>
      <c r="F142" s="5" t="s">
        <v>1396</v>
      </c>
      <c r="G142" s="5" t="s">
        <v>1279</v>
      </c>
      <c r="I142" s="5" t="s">
        <v>1386</v>
      </c>
    </row>
    <row r="143" spans="1:9" x14ac:dyDescent="0.3">
      <c r="A143" s="5" t="s">
        <v>292</v>
      </c>
      <c r="B143" s="8">
        <v>900000</v>
      </c>
      <c r="C143" s="9">
        <f t="shared" si="2"/>
        <v>5.9542425094393252</v>
      </c>
      <c r="D143" s="5" t="s">
        <v>1361</v>
      </c>
      <c r="E143" s="5" t="s">
        <v>1308</v>
      </c>
      <c r="F143" s="5" t="s">
        <v>1396</v>
      </c>
      <c r="G143" s="5" t="s">
        <v>1279</v>
      </c>
      <c r="I143" s="5" t="s">
        <v>1386</v>
      </c>
    </row>
    <row r="144" spans="1:9" x14ac:dyDescent="0.3">
      <c r="A144" s="5" t="s">
        <v>295</v>
      </c>
      <c r="B144" s="8">
        <v>420</v>
      </c>
      <c r="C144" s="9">
        <f t="shared" si="2"/>
        <v>2.6232492903979003</v>
      </c>
      <c r="D144" s="5" t="s">
        <v>1361</v>
      </c>
      <c r="E144" s="5" t="s">
        <v>1308</v>
      </c>
      <c r="F144" s="5" t="s">
        <v>1398</v>
      </c>
      <c r="G144" s="5" t="s">
        <v>1279</v>
      </c>
      <c r="I144" s="5" t="s">
        <v>1386</v>
      </c>
    </row>
    <row r="145" spans="1:9" x14ac:dyDescent="0.3">
      <c r="A145" s="5" t="s">
        <v>297</v>
      </c>
      <c r="B145" s="8">
        <v>780000</v>
      </c>
      <c r="C145" s="9">
        <f t="shared" si="2"/>
        <v>5.8920946026904808</v>
      </c>
      <c r="D145" s="5" t="s">
        <v>1361</v>
      </c>
      <c r="E145" s="5" t="s">
        <v>1308</v>
      </c>
      <c r="F145" s="5" t="s">
        <v>1398</v>
      </c>
      <c r="G145" s="5" t="s">
        <v>1279</v>
      </c>
      <c r="I145" s="5" t="s">
        <v>1386</v>
      </c>
    </row>
    <row r="146" spans="1:9" x14ac:dyDescent="0.3">
      <c r="A146" s="5" t="s">
        <v>300</v>
      </c>
      <c r="B146" s="8">
        <v>330</v>
      </c>
      <c r="C146" s="9">
        <f t="shared" si="2"/>
        <v>2.5185139398778875</v>
      </c>
      <c r="D146" s="5" t="s">
        <v>1361</v>
      </c>
      <c r="E146" s="5" t="s">
        <v>1308</v>
      </c>
      <c r="F146" s="5" t="s">
        <v>1398</v>
      </c>
      <c r="G146" s="5" t="s">
        <v>1279</v>
      </c>
      <c r="I146" s="5" t="s">
        <v>1386</v>
      </c>
    </row>
    <row r="147" spans="1:9" x14ac:dyDescent="0.3">
      <c r="A147" s="5" t="s">
        <v>302</v>
      </c>
      <c r="B147" s="8">
        <v>1300000</v>
      </c>
      <c r="C147" s="9">
        <f t="shared" si="2"/>
        <v>6.1139433523068369</v>
      </c>
      <c r="D147" s="5" t="s">
        <v>1361</v>
      </c>
      <c r="E147" s="5" t="s">
        <v>1388</v>
      </c>
      <c r="F147" s="5" t="s">
        <v>1398</v>
      </c>
      <c r="G147" s="5" t="s">
        <v>1291</v>
      </c>
      <c r="I147" s="5" t="s">
        <v>1386</v>
      </c>
    </row>
    <row r="148" spans="1:9" x14ac:dyDescent="0.3">
      <c r="A148" s="5" t="s">
        <v>305</v>
      </c>
      <c r="B148" s="8">
        <v>14000</v>
      </c>
      <c r="C148" s="9">
        <f t="shared" si="2"/>
        <v>4.1461280356782382</v>
      </c>
      <c r="D148" s="5" t="s">
        <v>1361</v>
      </c>
      <c r="E148" s="5" t="s">
        <v>1388</v>
      </c>
      <c r="F148" s="5" t="s">
        <v>1398</v>
      </c>
      <c r="G148" s="5" t="s">
        <v>1291</v>
      </c>
      <c r="I148" s="5" t="s">
        <v>1386</v>
      </c>
    </row>
    <row r="149" spans="1:9" x14ac:dyDescent="0.3">
      <c r="A149" s="5" t="s">
        <v>307</v>
      </c>
      <c r="B149" s="8">
        <v>1300</v>
      </c>
      <c r="C149" s="9">
        <f t="shared" si="2"/>
        <v>3.1139433523068369</v>
      </c>
      <c r="D149" s="5" t="s">
        <v>1361</v>
      </c>
      <c r="E149" s="5" t="s">
        <v>1388</v>
      </c>
      <c r="F149" s="5" t="s">
        <v>1398</v>
      </c>
      <c r="G149" s="5" t="s">
        <v>1291</v>
      </c>
      <c r="I149" s="5" t="s">
        <v>1386</v>
      </c>
    </row>
    <row r="150" spans="1:9" x14ac:dyDescent="0.3">
      <c r="A150" s="5" t="s">
        <v>309</v>
      </c>
      <c r="B150" s="8">
        <v>450000</v>
      </c>
      <c r="C150" s="9">
        <f t="shared" si="2"/>
        <v>5.653212513775344</v>
      </c>
      <c r="D150" s="5" t="s">
        <v>1361</v>
      </c>
      <c r="E150" s="5" t="s">
        <v>1388</v>
      </c>
      <c r="F150" s="5" t="s">
        <v>1398</v>
      </c>
      <c r="G150" s="5" t="s">
        <v>1291</v>
      </c>
      <c r="I150" s="5" t="s">
        <v>1386</v>
      </c>
    </row>
    <row r="151" spans="1:9" x14ac:dyDescent="0.3">
      <c r="A151" s="5" t="s">
        <v>312</v>
      </c>
      <c r="B151" s="8">
        <v>8600</v>
      </c>
      <c r="C151" s="9">
        <f t="shared" si="2"/>
        <v>3.9344984512435679</v>
      </c>
      <c r="D151" s="5" t="s">
        <v>1361</v>
      </c>
      <c r="E151" s="5" t="s">
        <v>1388</v>
      </c>
      <c r="F151" s="5" t="s">
        <v>1398</v>
      </c>
      <c r="G151" s="5" t="s">
        <v>1291</v>
      </c>
      <c r="I151" s="5" t="s">
        <v>1386</v>
      </c>
    </row>
    <row r="152" spans="1:9" x14ac:dyDescent="0.3">
      <c r="A152" s="5" t="s">
        <v>314</v>
      </c>
      <c r="B152" s="8">
        <v>720</v>
      </c>
      <c r="C152" s="9">
        <f t="shared" si="2"/>
        <v>2.8573324964312685</v>
      </c>
      <c r="D152" s="5" t="s">
        <v>1361</v>
      </c>
      <c r="E152" s="5" t="s">
        <v>1388</v>
      </c>
      <c r="F152" s="5" t="s">
        <v>1398</v>
      </c>
      <c r="G152" s="5" t="s">
        <v>1291</v>
      </c>
      <c r="I152" s="5" t="s">
        <v>1386</v>
      </c>
    </row>
    <row r="153" spans="1:9" x14ac:dyDescent="0.3">
      <c r="A153" s="5" t="s">
        <v>316</v>
      </c>
      <c r="B153" s="8">
        <v>1100000</v>
      </c>
      <c r="C153" s="9">
        <f t="shared" si="2"/>
        <v>6.0413926851582254</v>
      </c>
      <c r="D153" s="5" t="s">
        <v>1361</v>
      </c>
      <c r="E153" s="5" t="s">
        <v>1308</v>
      </c>
      <c r="F153" s="5" t="s">
        <v>1396</v>
      </c>
      <c r="G153" s="5" t="s">
        <v>1279</v>
      </c>
      <c r="I153" s="5" t="s">
        <v>1386</v>
      </c>
    </row>
    <row r="154" spans="1:9" x14ac:dyDescent="0.3">
      <c r="A154" s="5" t="s">
        <v>319</v>
      </c>
      <c r="B154" s="8">
        <v>1</v>
      </c>
      <c r="C154" s="9">
        <f t="shared" si="2"/>
        <v>0</v>
      </c>
      <c r="D154" s="5" t="s">
        <v>1361</v>
      </c>
      <c r="E154" s="5" t="s">
        <v>1308</v>
      </c>
      <c r="F154" s="5" t="s">
        <v>1292</v>
      </c>
      <c r="G154" s="5" t="s">
        <v>1279</v>
      </c>
      <c r="I154" s="5" t="s">
        <v>1386</v>
      </c>
    </row>
    <row r="155" spans="1:9" x14ac:dyDescent="0.3">
      <c r="A155" s="5" t="s">
        <v>321</v>
      </c>
      <c r="B155" s="8">
        <v>100000</v>
      </c>
      <c r="C155" s="9">
        <f t="shared" si="2"/>
        <v>5</v>
      </c>
      <c r="D155" s="5" t="s">
        <v>1361</v>
      </c>
      <c r="E155" s="5" t="s">
        <v>1363</v>
      </c>
      <c r="F155" s="5" t="s">
        <v>1396</v>
      </c>
      <c r="G155" s="5" t="s">
        <v>1268</v>
      </c>
      <c r="I155" s="5" t="s">
        <v>1386</v>
      </c>
    </row>
    <row r="156" spans="1:9" x14ac:dyDescent="0.3">
      <c r="A156" s="5" t="s">
        <v>324</v>
      </c>
      <c r="B156" s="8">
        <v>24000</v>
      </c>
      <c r="C156" s="9">
        <f t="shared" si="2"/>
        <v>4.3802112417116064</v>
      </c>
      <c r="D156" s="5" t="s">
        <v>1361</v>
      </c>
      <c r="E156" s="5" t="s">
        <v>1363</v>
      </c>
      <c r="F156" s="5" t="s">
        <v>1396</v>
      </c>
      <c r="G156" s="5" t="s">
        <v>1268</v>
      </c>
      <c r="I156" s="5" t="s">
        <v>1386</v>
      </c>
    </row>
    <row r="157" spans="1:9" x14ac:dyDescent="0.3">
      <c r="A157" s="5" t="s">
        <v>327</v>
      </c>
      <c r="B157" s="8">
        <v>64000</v>
      </c>
      <c r="C157" s="9">
        <f t="shared" si="2"/>
        <v>4.8061799739838875</v>
      </c>
      <c r="D157" s="5" t="s">
        <v>1361</v>
      </c>
      <c r="E157" s="5" t="s">
        <v>1278</v>
      </c>
      <c r="F157" s="5" t="s">
        <v>1396</v>
      </c>
      <c r="G157" s="5" t="s">
        <v>1263</v>
      </c>
      <c r="H157" s="10">
        <v>5.27739376022291E-2</v>
      </c>
      <c r="I157" s="5" t="s">
        <v>1386</v>
      </c>
    </row>
    <row r="158" spans="1:9" x14ac:dyDescent="0.3">
      <c r="A158" s="5" t="s">
        <v>327</v>
      </c>
      <c r="B158" s="8">
        <v>76000</v>
      </c>
      <c r="C158" s="9">
        <f t="shared" si="2"/>
        <v>4.8808135922807914</v>
      </c>
      <c r="D158" s="5" t="s">
        <v>1361</v>
      </c>
      <c r="E158" s="5" t="s">
        <v>1363</v>
      </c>
      <c r="F158" s="5" t="s">
        <v>1396</v>
      </c>
      <c r="G158" s="5" t="s">
        <v>1268</v>
      </c>
      <c r="H158" s="10">
        <v>5.27739376022291E-2</v>
      </c>
      <c r="I158" s="5" t="s">
        <v>1386</v>
      </c>
    </row>
    <row r="159" spans="1:9" x14ac:dyDescent="0.3">
      <c r="A159" s="5" t="s">
        <v>330</v>
      </c>
      <c r="B159" s="8">
        <v>62000</v>
      </c>
      <c r="C159" s="9">
        <f t="shared" si="2"/>
        <v>4.7923916894982534</v>
      </c>
      <c r="D159" s="5" t="s">
        <v>1361</v>
      </c>
      <c r="E159" s="5" t="s">
        <v>1278</v>
      </c>
      <c r="F159" s="5" t="s">
        <v>1396</v>
      </c>
      <c r="G159" s="5" t="s">
        <v>1263</v>
      </c>
      <c r="I159" s="5" t="s">
        <v>1386</v>
      </c>
    </row>
    <row r="160" spans="1:9" x14ac:dyDescent="0.3">
      <c r="A160" s="5" t="s">
        <v>333</v>
      </c>
      <c r="B160" s="8">
        <v>47000</v>
      </c>
      <c r="C160" s="9">
        <f t="shared" si="2"/>
        <v>4.6720978579357171</v>
      </c>
      <c r="D160" s="5" t="s">
        <v>1361</v>
      </c>
      <c r="E160" s="5" t="s">
        <v>1308</v>
      </c>
      <c r="F160" s="5" t="s">
        <v>1397</v>
      </c>
      <c r="G160" s="5" t="s">
        <v>1279</v>
      </c>
      <c r="I160" s="5" t="s">
        <v>1386</v>
      </c>
    </row>
    <row r="161" spans="1:9" x14ac:dyDescent="0.3">
      <c r="A161" s="5" t="s">
        <v>336</v>
      </c>
      <c r="B161" s="8">
        <v>57000</v>
      </c>
      <c r="C161" s="9">
        <f t="shared" si="2"/>
        <v>4.7558748556724915</v>
      </c>
      <c r="D161" s="5" t="s">
        <v>1361</v>
      </c>
      <c r="E161" s="5" t="s">
        <v>1363</v>
      </c>
      <c r="F161" s="5" t="s">
        <v>1396</v>
      </c>
      <c r="G161" s="5" t="s">
        <v>1268</v>
      </c>
      <c r="I161" s="5" t="s">
        <v>1386</v>
      </c>
    </row>
    <row r="162" spans="1:9" x14ac:dyDescent="0.3">
      <c r="A162" s="5" t="s">
        <v>339</v>
      </c>
      <c r="B162" s="8">
        <v>42000</v>
      </c>
      <c r="C162" s="9">
        <f t="shared" si="2"/>
        <v>4.6232492903979008</v>
      </c>
      <c r="D162" s="5" t="s">
        <v>1361</v>
      </c>
      <c r="E162" s="5" t="s">
        <v>1363</v>
      </c>
      <c r="F162" s="5" t="s">
        <v>1396</v>
      </c>
      <c r="G162" s="5" t="s">
        <v>1268</v>
      </c>
      <c r="I162" s="5" t="s">
        <v>1386</v>
      </c>
    </row>
    <row r="163" spans="1:9" x14ac:dyDescent="0.3">
      <c r="A163" s="5" t="s">
        <v>342</v>
      </c>
      <c r="B163" s="8">
        <v>41000</v>
      </c>
      <c r="C163" s="9">
        <f t="shared" si="2"/>
        <v>4.6127838567197355</v>
      </c>
      <c r="D163" s="5" t="s">
        <v>1361</v>
      </c>
      <c r="E163" s="5" t="s">
        <v>1363</v>
      </c>
      <c r="F163" s="5" t="s">
        <v>1396</v>
      </c>
      <c r="G163" s="5" t="s">
        <v>1268</v>
      </c>
      <c r="I163" s="5" t="s">
        <v>1386</v>
      </c>
    </row>
    <row r="164" spans="1:9" x14ac:dyDescent="0.3">
      <c r="A164" s="5" t="s">
        <v>345</v>
      </c>
      <c r="B164" s="8">
        <v>63000</v>
      </c>
      <c r="C164" s="9">
        <f t="shared" si="2"/>
        <v>4.7993405494535821</v>
      </c>
      <c r="D164" s="5" t="s">
        <v>1361</v>
      </c>
      <c r="E164" s="5" t="s">
        <v>1363</v>
      </c>
      <c r="F164" s="5" t="s">
        <v>1396</v>
      </c>
      <c r="G164" s="5" t="s">
        <v>1268</v>
      </c>
      <c r="I164" s="5" t="s">
        <v>1386</v>
      </c>
    </row>
    <row r="165" spans="1:9" x14ac:dyDescent="0.3">
      <c r="A165" s="5" t="s">
        <v>348</v>
      </c>
      <c r="B165" s="8">
        <v>170000</v>
      </c>
      <c r="C165" s="9">
        <f t="shared" si="2"/>
        <v>5.2304489213782741</v>
      </c>
      <c r="D165" s="5" t="s">
        <v>1361</v>
      </c>
      <c r="E165" s="5" t="s">
        <v>1278</v>
      </c>
      <c r="F165" s="5" t="s">
        <v>1396</v>
      </c>
      <c r="G165" s="5" t="s">
        <v>1263</v>
      </c>
      <c r="H165" s="10">
        <v>0.10696239900062693</v>
      </c>
      <c r="I165" s="5" t="s">
        <v>1386</v>
      </c>
    </row>
    <row r="166" spans="1:9" x14ac:dyDescent="0.3">
      <c r="A166" s="5" t="s">
        <v>348</v>
      </c>
      <c r="B166" s="8">
        <v>120000</v>
      </c>
      <c r="C166" s="9">
        <f t="shared" si="2"/>
        <v>5.0791812460476251</v>
      </c>
      <c r="D166" s="5" t="s">
        <v>1361</v>
      </c>
      <c r="E166" s="5" t="s">
        <v>1363</v>
      </c>
      <c r="F166" s="5" t="s">
        <v>1396</v>
      </c>
      <c r="G166" s="5" t="s">
        <v>1268</v>
      </c>
      <c r="H166" s="10">
        <v>0.10696239900062693</v>
      </c>
      <c r="I166" s="5" t="s">
        <v>1386</v>
      </c>
    </row>
    <row r="167" spans="1:9" x14ac:dyDescent="0.3">
      <c r="A167" s="5" t="s">
        <v>351</v>
      </c>
      <c r="B167" s="8">
        <v>52000</v>
      </c>
      <c r="C167" s="9">
        <f t="shared" si="2"/>
        <v>4.7160033436347994</v>
      </c>
      <c r="D167" s="5" t="s">
        <v>1361</v>
      </c>
      <c r="E167" s="5" t="s">
        <v>1363</v>
      </c>
      <c r="F167" s="5" t="s">
        <v>1396</v>
      </c>
      <c r="G167" s="5" t="s">
        <v>1268</v>
      </c>
      <c r="I167" s="5" t="s">
        <v>1386</v>
      </c>
    </row>
    <row r="168" spans="1:9" x14ac:dyDescent="0.3">
      <c r="A168" s="5" t="s">
        <v>354</v>
      </c>
      <c r="B168" s="8">
        <v>45000</v>
      </c>
      <c r="C168" s="9">
        <f t="shared" si="2"/>
        <v>4.653212513775344</v>
      </c>
      <c r="D168" s="5" t="s">
        <v>1361</v>
      </c>
      <c r="E168" s="5" t="s">
        <v>1363</v>
      </c>
      <c r="F168" s="5" t="s">
        <v>1396</v>
      </c>
      <c r="G168" s="5" t="s">
        <v>1268</v>
      </c>
      <c r="I168" s="5" t="s">
        <v>1386</v>
      </c>
    </row>
    <row r="169" spans="1:9" x14ac:dyDescent="0.3">
      <c r="A169" s="5" t="s">
        <v>357</v>
      </c>
      <c r="B169" s="8">
        <v>71000</v>
      </c>
      <c r="C169" s="9">
        <f t="shared" si="2"/>
        <v>4.8512583487190755</v>
      </c>
      <c r="D169" s="5" t="s">
        <v>1361</v>
      </c>
      <c r="E169" s="5" t="s">
        <v>1308</v>
      </c>
      <c r="F169" s="5" t="s">
        <v>1396</v>
      </c>
      <c r="G169" s="5" t="s">
        <v>1279</v>
      </c>
      <c r="I169" s="5" t="s">
        <v>1386</v>
      </c>
    </row>
    <row r="170" spans="1:9" x14ac:dyDescent="0.3">
      <c r="A170" s="5" t="s">
        <v>360</v>
      </c>
      <c r="B170" s="8">
        <v>49000</v>
      </c>
      <c r="C170" s="9">
        <f t="shared" si="2"/>
        <v>4.6901960800285138</v>
      </c>
      <c r="D170" s="5" t="s">
        <v>1361</v>
      </c>
      <c r="E170" s="5" t="s">
        <v>1308</v>
      </c>
      <c r="F170" s="5" t="s">
        <v>1396</v>
      </c>
      <c r="G170" s="5" t="s">
        <v>1279</v>
      </c>
      <c r="I170" s="5" t="s">
        <v>1386</v>
      </c>
    </row>
    <row r="171" spans="1:9" x14ac:dyDescent="0.3">
      <c r="A171" s="5" t="s">
        <v>363</v>
      </c>
      <c r="B171" s="8">
        <v>93000</v>
      </c>
      <c r="C171" s="9">
        <f t="shared" si="2"/>
        <v>4.9684829485539348</v>
      </c>
      <c r="D171" s="5" t="s">
        <v>1361</v>
      </c>
      <c r="E171" s="5" t="s">
        <v>1388</v>
      </c>
      <c r="F171" s="5" t="s">
        <v>1396</v>
      </c>
      <c r="G171" s="5" t="s">
        <v>1293</v>
      </c>
      <c r="H171" s="10">
        <v>0.29113586809815234</v>
      </c>
      <c r="I171" s="5" t="s">
        <v>1386</v>
      </c>
    </row>
    <row r="172" spans="1:9" x14ac:dyDescent="0.3">
      <c r="A172" s="5" t="s">
        <v>363</v>
      </c>
      <c r="B172" s="8">
        <v>240000</v>
      </c>
      <c r="C172" s="9">
        <f t="shared" si="2"/>
        <v>5.3802112417116064</v>
      </c>
      <c r="D172" s="5" t="s">
        <v>1361</v>
      </c>
      <c r="E172" s="5" t="s">
        <v>1388</v>
      </c>
      <c r="F172" s="5" t="s">
        <v>1397</v>
      </c>
      <c r="G172" s="5" t="s">
        <v>1294</v>
      </c>
      <c r="H172" s="10">
        <v>0.29113586809815234</v>
      </c>
      <c r="I172" s="5" t="s">
        <v>1386</v>
      </c>
    </row>
    <row r="173" spans="1:9" x14ac:dyDescent="0.3">
      <c r="A173" s="5" t="s">
        <v>366</v>
      </c>
      <c r="B173" s="8">
        <v>26000</v>
      </c>
      <c r="C173" s="9">
        <f t="shared" si="2"/>
        <v>4.4149733479708182</v>
      </c>
      <c r="D173" s="5" t="s">
        <v>1361</v>
      </c>
      <c r="E173" s="5" t="s">
        <v>1363</v>
      </c>
      <c r="F173" s="5" t="s">
        <v>1396</v>
      </c>
      <c r="G173" s="5" t="s">
        <v>1268</v>
      </c>
      <c r="I173" s="5" t="s">
        <v>1386</v>
      </c>
    </row>
    <row r="174" spans="1:9" x14ac:dyDescent="0.3">
      <c r="A174" s="5" t="s">
        <v>369</v>
      </c>
      <c r="B174" s="8">
        <v>26000</v>
      </c>
      <c r="C174" s="9">
        <f t="shared" si="2"/>
        <v>4.4149733479708182</v>
      </c>
      <c r="D174" s="5" t="s">
        <v>1361</v>
      </c>
      <c r="E174" s="5" t="s">
        <v>1363</v>
      </c>
      <c r="F174" s="5" t="s">
        <v>1396</v>
      </c>
      <c r="G174" s="5" t="s">
        <v>1268</v>
      </c>
      <c r="I174" s="5" t="s">
        <v>1386</v>
      </c>
    </row>
    <row r="175" spans="1:9" x14ac:dyDescent="0.3">
      <c r="A175" s="5" t="s">
        <v>372</v>
      </c>
      <c r="B175" s="8">
        <v>130000</v>
      </c>
      <c r="C175" s="9">
        <f t="shared" si="2"/>
        <v>5.1139433523068369</v>
      </c>
      <c r="D175" s="5" t="s">
        <v>1361</v>
      </c>
      <c r="E175" s="5" t="s">
        <v>1278</v>
      </c>
      <c r="F175" s="5" t="s">
        <v>1396</v>
      </c>
      <c r="G175" s="5" t="s">
        <v>1263</v>
      </c>
      <c r="H175" s="10">
        <v>0.14727333124820904</v>
      </c>
      <c r="I175" s="5" t="s">
        <v>1386</v>
      </c>
    </row>
    <row r="176" spans="1:9" x14ac:dyDescent="0.3">
      <c r="A176" s="5" t="s">
        <v>372</v>
      </c>
      <c r="B176" s="8">
        <v>210000</v>
      </c>
      <c r="C176" s="9">
        <f t="shared" si="2"/>
        <v>5.3222192947339195</v>
      </c>
      <c r="D176" s="5" t="s">
        <v>1361</v>
      </c>
      <c r="E176" s="5" t="s">
        <v>1363</v>
      </c>
      <c r="F176" s="5" t="s">
        <v>1396</v>
      </c>
      <c r="G176" s="5" t="s">
        <v>1268</v>
      </c>
      <c r="H176" s="10">
        <v>0.14727333124820904</v>
      </c>
      <c r="I176" s="5" t="s">
        <v>1386</v>
      </c>
    </row>
    <row r="177" spans="1:9" x14ac:dyDescent="0.3">
      <c r="A177" s="5" t="s">
        <v>375</v>
      </c>
      <c r="B177" s="8">
        <v>20000</v>
      </c>
      <c r="C177" s="9">
        <f t="shared" si="2"/>
        <v>4.3010299956639813</v>
      </c>
      <c r="D177" s="5" t="s">
        <v>1361</v>
      </c>
      <c r="E177" s="5" t="s">
        <v>1363</v>
      </c>
      <c r="F177" s="5" t="s">
        <v>1396</v>
      </c>
      <c r="G177" s="5" t="s">
        <v>1268</v>
      </c>
      <c r="I177" s="5" t="s">
        <v>1386</v>
      </c>
    </row>
    <row r="178" spans="1:9" x14ac:dyDescent="0.3">
      <c r="A178" s="5" t="s">
        <v>378</v>
      </c>
      <c r="B178" s="8">
        <v>56000</v>
      </c>
      <c r="C178" s="9">
        <f t="shared" si="2"/>
        <v>4.7481880270062007</v>
      </c>
      <c r="D178" s="5" t="s">
        <v>1361</v>
      </c>
      <c r="E178" s="5" t="s">
        <v>1363</v>
      </c>
      <c r="F178" s="5" t="s">
        <v>1396</v>
      </c>
      <c r="G178" s="5" t="s">
        <v>1268</v>
      </c>
      <c r="I178" s="5" t="s">
        <v>1386</v>
      </c>
    </row>
    <row r="179" spans="1:9" x14ac:dyDescent="0.3">
      <c r="A179" s="5" t="s">
        <v>381</v>
      </c>
      <c r="B179" s="8">
        <v>53000</v>
      </c>
      <c r="C179" s="9">
        <f t="shared" si="2"/>
        <v>4.7242758696007892</v>
      </c>
      <c r="D179" s="5" t="s">
        <v>1361</v>
      </c>
      <c r="E179" s="5" t="s">
        <v>1363</v>
      </c>
      <c r="F179" s="5" t="s">
        <v>1396</v>
      </c>
      <c r="G179" s="5" t="s">
        <v>1268</v>
      </c>
      <c r="I179" s="5" t="s">
        <v>1386</v>
      </c>
    </row>
    <row r="180" spans="1:9" x14ac:dyDescent="0.3">
      <c r="A180" s="5" t="s">
        <v>384</v>
      </c>
      <c r="B180" s="8">
        <v>31000</v>
      </c>
      <c r="C180" s="9">
        <f t="shared" si="2"/>
        <v>4.4913616938342731</v>
      </c>
      <c r="D180" s="5" t="s">
        <v>1361</v>
      </c>
      <c r="E180" s="5" t="s">
        <v>1363</v>
      </c>
      <c r="F180" s="5" t="s">
        <v>1396</v>
      </c>
      <c r="G180" s="5" t="s">
        <v>1268</v>
      </c>
      <c r="I180" s="5" t="s">
        <v>1386</v>
      </c>
    </row>
    <row r="181" spans="1:9" x14ac:dyDescent="0.3">
      <c r="A181" s="5" t="s">
        <v>387</v>
      </c>
      <c r="B181" s="8">
        <v>150000</v>
      </c>
      <c r="C181" s="9">
        <f t="shared" si="2"/>
        <v>5.1760912590556813</v>
      </c>
      <c r="D181" s="5" t="s">
        <v>1361</v>
      </c>
      <c r="E181" s="5" t="s">
        <v>1363</v>
      </c>
      <c r="F181" s="5" t="s">
        <v>1396</v>
      </c>
      <c r="G181" s="5" t="s">
        <v>1268</v>
      </c>
      <c r="I181" s="5" t="s">
        <v>1386</v>
      </c>
    </row>
    <row r="182" spans="1:9" x14ac:dyDescent="0.3">
      <c r="A182" s="5" t="s">
        <v>390</v>
      </c>
      <c r="B182" s="8">
        <v>66000</v>
      </c>
      <c r="C182" s="9">
        <f t="shared" si="2"/>
        <v>4.8195439355418683</v>
      </c>
      <c r="D182" s="5" t="s">
        <v>1361</v>
      </c>
      <c r="E182" s="5" t="s">
        <v>1363</v>
      </c>
      <c r="F182" s="5" t="s">
        <v>1396</v>
      </c>
      <c r="G182" s="5" t="s">
        <v>1268</v>
      </c>
      <c r="I182" s="5" t="s">
        <v>1386</v>
      </c>
    </row>
    <row r="183" spans="1:9" x14ac:dyDescent="0.3">
      <c r="A183" s="5" t="s">
        <v>393</v>
      </c>
      <c r="B183" s="8">
        <v>140000</v>
      </c>
      <c r="C183" s="9">
        <f t="shared" si="2"/>
        <v>5.1461280356782382</v>
      </c>
      <c r="D183" s="5" t="s">
        <v>1361</v>
      </c>
      <c r="E183" s="5" t="s">
        <v>1278</v>
      </c>
      <c r="F183" s="5" t="s">
        <v>1396</v>
      </c>
      <c r="G183" s="5" t="s">
        <v>1263</v>
      </c>
      <c r="I183" s="5" t="s">
        <v>1386</v>
      </c>
    </row>
    <row r="184" spans="1:9" x14ac:dyDescent="0.3">
      <c r="A184" s="5" t="s">
        <v>396</v>
      </c>
      <c r="B184" s="8">
        <v>68000</v>
      </c>
      <c r="C184" s="9">
        <f t="shared" si="2"/>
        <v>4.8325089127062366</v>
      </c>
      <c r="D184" s="5" t="s">
        <v>1361</v>
      </c>
      <c r="E184" s="5" t="s">
        <v>1363</v>
      </c>
      <c r="F184" s="5" t="s">
        <v>1396</v>
      </c>
      <c r="G184" s="5" t="s">
        <v>1268</v>
      </c>
      <c r="I184" s="5" t="s">
        <v>1386</v>
      </c>
    </row>
    <row r="185" spans="1:9" x14ac:dyDescent="0.3">
      <c r="A185" s="5" t="s">
        <v>399</v>
      </c>
      <c r="B185" s="8">
        <v>130000</v>
      </c>
      <c r="C185" s="9">
        <f t="shared" si="2"/>
        <v>5.1139433523068369</v>
      </c>
      <c r="D185" s="5" t="s">
        <v>1361</v>
      </c>
      <c r="E185" s="5" t="s">
        <v>1363</v>
      </c>
      <c r="F185" s="5" t="s">
        <v>1396</v>
      </c>
      <c r="G185" s="5" t="s">
        <v>1268</v>
      </c>
      <c r="I185" s="5" t="s">
        <v>1386</v>
      </c>
    </row>
    <row r="186" spans="1:9" x14ac:dyDescent="0.3">
      <c r="A186" s="5" t="s">
        <v>402</v>
      </c>
      <c r="B186" s="8">
        <v>45000</v>
      </c>
      <c r="C186" s="9">
        <f t="shared" si="2"/>
        <v>4.653212513775344</v>
      </c>
      <c r="D186" s="5" t="s">
        <v>1361</v>
      </c>
      <c r="E186" s="5" t="s">
        <v>1363</v>
      </c>
      <c r="F186" s="5" t="s">
        <v>1396</v>
      </c>
      <c r="G186" s="5" t="s">
        <v>1268</v>
      </c>
      <c r="I186" s="5" t="s">
        <v>1386</v>
      </c>
    </row>
    <row r="187" spans="1:9" x14ac:dyDescent="0.3">
      <c r="A187" s="5" t="s">
        <v>405</v>
      </c>
      <c r="B187" s="8">
        <v>290000</v>
      </c>
      <c r="C187" s="9">
        <f t="shared" si="2"/>
        <v>5.4623979978989565</v>
      </c>
      <c r="D187" s="5" t="s">
        <v>1361</v>
      </c>
      <c r="E187" s="5" t="s">
        <v>1295</v>
      </c>
      <c r="F187" s="5" t="s">
        <v>1397</v>
      </c>
      <c r="G187" s="5" t="s">
        <v>1296</v>
      </c>
      <c r="I187" s="5" t="s">
        <v>1386</v>
      </c>
    </row>
    <row r="188" spans="1:9" x14ac:dyDescent="0.3">
      <c r="A188" s="5" t="s">
        <v>408</v>
      </c>
      <c r="B188" s="8">
        <v>630000</v>
      </c>
      <c r="C188" s="9">
        <f t="shared" si="2"/>
        <v>5.7993405494535821</v>
      </c>
      <c r="D188" s="5" t="s">
        <v>1361</v>
      </c>
      <c r="E188" s="5" t="s">
        <v>1297</v>
      </c>
      <c r="F188" s="5" t="s">
        <v>1397</v>
      </c>
      <c r="G188" s="5" t="s">
        <v>1296</v>
      </c>
      <c r="I188" s="5" t="s">
        <v>1386</v>
      </c>
    </row>
    <row r="189" spans="1:9" ht="13.15" customHeight="1" x14ac:dyDescent="0.3">
      <c r="A189" s="5" t="s">
        <v>411</v>
      </c>
      <c r="B189" s="8">
        <v>390000</v>
      </c>
      <c r="C189" s="9">
        <f t="shared" si="2"/>
        <v>5.5910646070264995</v>
      </c>
      <c r="D189" s="5" t="s">
        <v>1361</v>
      </c>
      <c r="E189" s="5" t="s">
        <v>1388</v>
      </c>
      <c r="F189" s="5" t="s">
        <v>1396</v>
      </c>
      <c r="G189" s="5" t="s">
        <v>1293</v>
      </c>
      <c r="H189" s="10">
        <v>0.1842605185162543</v>
      </c>
      <c r="I189" s="5" t="s">
        <v>1386</v>
      </c>
    </row>
    <row r="190" spans="1:9" x14ac:dyDescent="0.3">
      <c r="A190" s="5" t="s">
        <v>411</v>
      </c>
      <c r="B190" s="8">
        <v>910000</v>
      </c>
      <c r="C190" s="9">
        <f t="shared" si="2"/>
        <v>5.9590413923210939</v>
      </c>
      <c r="D190" s="5" t="s">
        <v>1361</v>
      </c>
      <c r="E190" s="5" t="s">
        <v>1388</v>
      </c>
      <c r="F190" s="5" t="s">
        <v>1397</v>
      </c>
      <c r="G190" s="5" t="s">
        <v>1294</v>
      </c>
      <c r="H190" s="10">
        <v>0.1842605185162543</v>
      </c>
      <c r="I190" s="5" t="s">
        <v>1386</v>
      </c>
    </row>
    <row r="191" spans="1:9" x14ac:dyDescent="0.3">
      <c r="A191" s="5" t="s">
        <v>411</v>
      </c>
      <c r="B191" s="8">
        <v>620000</v>
      </c>
      <c r="C191" s="9">
        <f t="shared" si="2"/>
        <v>5.7923916894982534</v>
      </c>
      <c r="D191" s="5" t="s">
        <v>1361</v>
      </c>
      <c r="E191" s="5" t="s">
        <v>1363</v>
      </c>
      <c r="F191" s="5" t="s">
        <v>1396</v>
      </c>
      <c r="G191" s="5" t="s">
        <v>1268</v>
      </c>
      <c r="H191" s="10">
        <v>0.1842605185162543</v>
      </c>
      <c r="I191" s="5" t="s">
        <v>1386</v>
      </c>
    </row>
    <row r="192" spans="1:9" x14ac:dyDescent="0.3">
      <c r="A192" s="5" t="s">
        <v>414</v>
      </c>
      <c r="B192" s="8">
        <v>19000000</v>
      </c>
      <c r="C192" s="9">
        <f t="shared" si="2"/>
        <v>7.2787536009528289</v>
      </c>
      <c r="D192" s="5" t="s">
        <v>1361</v>
      </c>
      <c r="E192" s="5" t="s">
        <v>1278</v>
      </c>
      <c r="F192" s="5" t="s">
        <v>1396</v>
      </c>
      <c r="G192" s="5" t="s">
        <v>1263</v>
      </c>
      <c r="I192" s="5" t="s">
        <v>1386</v>
      </c>
    </row>
    <row r="193" spans="1:9" x14ac:dyDescent="0.3">
      <c r="A193" s="5" t="s">
        <v>417</v>
      </c>
      <c r="B193" s="8">
        <v>100000</v>
      </c>
      <c r="C193" s="9">
        <f t="shared" si="2"/>
        <v>5</v>
      </c>
      <c r="D193" s="5" t="s">
        <v>1361</v>
      </c>
      <c r="E193" s="5" t="s">
        <v>1388</v>
      </c>
      <c r="F193" s="5" t="s">
        <v>1396</v>
      </c>
      <c r="G193" s="5" t="s">
        <v>1293</v>
      </c>
      <c r="I193" s="5" t="s">
        <v>1386</v>
      </c>
    </row>
    <row r="194" spans="1:9" x14ac:dyDescent="0.3">
      <c r="A194" s="5" t="s">
        <v>420</v>
      </c>
      <c r="B194" s="8">
        <v>2800000</v>
      </c>
      <c r="C194" s="9">
        <f t="shared" si="2"/>
        <v>6.4471580313422194</v>
      </c>
      <c r="D194" s="5" t="s">
        <v>1361</v>
      </c>
      <c r="E194" s="5" t="s">
        <v>1388</v>
      </c>
      <c r="F194" s="5" t="s">
        <v>1397</v>
      </c>
      <c r="G194" s="5" t="s">
        <v>1294</v>
      </c>
      <c r="I194" s="5" t="s">
        <v>1386</v>
      </c>
    </row>
    <row r="195" spans="1:9" x14ac:dyDescent="0.3">
      <c r="A195" s="5" t="s">
        <v>423</v>
      </c>
      <c r="B195" s="8">
        <v>810</v>
      </c>
      <c r="C195" s="9">
        <f t="shared" ref="C195:C258" si="3">LOG10(B195)</f>
        <v>2.90848501887865</v>
      </c>
      <c r="D195" s="5" t="s">
        <v>1361</v>
      </c>
      <c r="E195" s="5" t="s">
        <v>1288</v>
      </c>
      <c r="F195" s="5" t="s">
        <v>1396</v>
      </c>
      <c r="G195" s="5" t="s">
        <v>1298</v>
      </c>
      <c r="I195" s="5" t="s">
        <v>1386</v>
      </c>
    </row>
    <row r="196" spans="1:9" x14ac:dyDescent="0.3">
      <c r="A196" s="5" t="s">
        <v>426</v>
      </c>
      <c r="B196" s="8">
        <v>860000</v>
      </c>
      <c r="C196" s="9">
        <f t="shared" si="3"/>
        <v>5.9344984512435675</v>
      </c>
      <c r="D196" s="5" t="s">
        <v>1361</v>
      </c>
      <c r="E196" s="5" t="s">
        <v>1299</v>
      </c>
      <c r="F196" s="5" t="s">
        <v>1397</v>
      </c>
      <c r="G196" s="5" t="s">
        <v>1296</v>
      </c>
      <c r="I196" s="5" t="s">
        <v>1386</v>
      </c>
    </row>
    <row r="197" spans="1:9" x14ac:dyDescent="0.3">
      <c r="A197" s="5" t="s">
        <v>429</v>
      </c>
      <c r="B197" s="8">
        <v>180000</v>
      </c>
      <c r="C197" s="9">
        <f t="shared" si="3"/>
        <v>5.2552725051033065</v>
      </c>
      <c r="D197" s="5" t="s">
        <v>1361</v>
      </c>
      <c r="E197" s="5" t="s">
        <v>1388</v>
      </c>
      <c r="F197" s="5" t="s">
        <v>1259</v>
      </c>
      <c r="G197" s="5" t="s">
        <v>1300</v>
      </c>
      <c r="I197" s="5" t="s">
        <v>1386</v>
      </c>
    </row>
    <row r="198" spans="1:9" x14ac:dyDescent="0.3">
      <c r="A198" s="5" t="s">
        <v>432</v>
      </c>
      <c r="B198" s="8">
        <v>4300000</v>
      </c>
      <c r="C198" s="9">
        <f t="shared" si="3"/>
        <v>6.6334684555795862</v>
      </c>
      <c r="D198" s="5" t="s">
        <v>1361</v>
      </c>
      <c r="E198" s="5" t="s">
        <v>1363</v>
      </c>
      <c r="F198" s="5" t="s">
        <v>1396</v>
      </c>
      <c r="G198" s="5" t="s">
        <v>1268</v>
      </c>
      <c r="I198" s="5" t="s">
        <v>1386</v>
      </c>
    </row>
    <row r="199" spans="1:9" x14ac:dyDescent="0.3">
      <c r="A199" s="5" t="s">
        <v>435</v>
      </c>
      <c r="B199" s="8">
        <v>100000</v>
      </c>
      <c r="C199" s="9">
        <f t="shared" si="3"/>
        <v>5</v>
      </c>
      <c r="D199" s="5" t="s">
        <v>1361</v>
      </c>
      <c r="E199" s="5" t="s">
        <v>1301</v>
      </c>
      <c r="F199" s="5" t="s">
        <v>1397</v>
      </c>
      <c r="G199" s="5" t="s">
        <v>1296</v>
      </c>
      <c r="I199" s="5" t="s">
        <v>1386</v>
      </c>
    </row>
    <row r="200" spans="1:9" x14ac:dyDescent="0.3">
      <c r="A200" s="5" t="s">
        <v>438</v>
      </c>
      <c r="B200" s="8">
        <v>1300000</v>
      </c>
      <c r="C200" s="9">
        <f t="shared" si="3"/>
        <v>6.1139433523068369</v>
      </c>
      <c r="D200" s="5" t="s">
        <v>1361</v>
      </c>
      <c r="E200" s="5" t="s">
        <v>1302</v>
      </c>
      <c r="F200" s="5" t="s">
        <v>1396</v>
      </c>
      <c r="G200" s="5" t="s">
        <v>1303</v>
      </c>
      <c r="I200" s="5" t="s">
        <v>1386</v>
      </c>
    </row>
    <row r="201" spans="1:9" x14ac:dyDescent="0.3">
      <c r="A201" s="5" t="s">
        <v>441</v>
      </c>
      <c r="B201" s="8">
        <v>6000000</v>
      </c>
      <c r="C201" s="9">
        <f t="shared" si="3"/>
        <v>6.7781512503836439</v>
      </c>
      <c r="D201" s="5" t="s">
        <v>1361</v>
      </c>
      <c r="E201" s="5" t="s">
        <v>1308</v>
      </c>
      <c r="F201" s="5" t="s">
        <v>1396</v>
      </c>
      <c r="G201" s="5" t="s">
        <v>1279</v>
      </c>
      <c r="I201" s="5" t="s">
        <v>1386</v>
      </c>
    </row>
    <row r="202" spans="1:9" x14ac:dyDescent="0.3">
      <c r="A202" s="5" t="s">
        <v>444</v>
      </c>
      <c r="B202" s="8">
        <v>700000</v>
      </c>
      <c r="C202" s="9">
        <f t="shared" si="3"/>
        <v>5.8450980400142569</v>
      </c>
      <c r="D202" s="5" t="s">
        <v>1361</v>
      </c>
      <c r="E202" s="5" t="s">
        <v>1388</v>
      </c>
      <c r="F202" s="5" t="s">
        <v>1396</v>
      </c>
      <c r="G202" s="5" t="s">
        <v>1293</v>
      </c>
      <c r="I202" s="5" t="s">
        <v>1386</v>
      </c>
    </row>
    <row r="203" spans="1:9" x14ac:dyDescent="0.3">
      <c r="A203" s="5" t="s">
        <v>447</v>
      </c>
      <c r="B203" s="8">
        <v>10000000</v>
      </c>
      <c r="C203" s="9">
        <f t="shared" si="3"/>
        <v>7</v>
      </c>
      <c r="D203" s="5" t="s">
        <v>1361</v>
      </c>
      <c r="E203" s="5" t="s">
        <v>1308</v>
      </c>
      <c r="F203" s="5" t="s">
        <v>1396</v>
      </c>
      <c r="G203" s="5" t="s">
        <v>1279</v>
      </c>
      <c r="I203" s="5" t="s">
        <v>1386</v>
      </c>
    </row>
    <row r="204" spans="1:9" x14ac:dyDescent="0.3">
      <c r="A204" s="5" t="s">
        <v>450</v>
      </c>
      <c r="B204" s="8">
        <v>3200000</v>
      </c>
      <c r="C204" s="9">
        <f t="shared" si="3"/>
        <v>6.5051499783199063</v>
      </c>
      <c r="D204" s="5" t="s">
        <v>1361</v>
      </c>
      <c r="E204" s="5" t="s">
        <v>1388</v>
      </c>
      <c r="F204" s="5" t="s">
        <v>1397</v>
      </c>
      <c r="G204" s="5" t="s">
        <v>1294</v>
      </c>
      <c r="I204" s="5" t="s">
        <v>1386</v>
      </c>
    </row>
    <row r="205" spans="1:9" x14ac:dyDescent="0.3">
      <c r="A205" s="5" t="s">
        <v>453</v>
      </c>
      <c r="B205" s="8">
        <v>170000000</v>
      </c>
      <c r="C205" s="9">
        <f t="shared" si="3"/>
        <v>8.2304489213782741</v>
      </c>
      <c r="D205" s="5" t="s">
        <v>1361</v>
      </c>
      <c r="E205" s="5" t="s">
        <v>1376</v>
      </c>
      <c r="F205" s="5" t="s">
        <v>1396</v>
      </c>
      <c r="G205" s="5" t="s">
        <v>1304</v>
      </c>
      <c r="I205" s="5" t="s">
        <v>1386</v>
      </c>
    </row>
    <row r="206" spans="1:9" x14ac:dyDescent="0.3">
      <c r="A206" s="5" t="s">
        <v>456</v>
      </c>
      <c r="B206" s="8">
        <v>3700000</v>
      </c>
      <c r="C206" s="9">
        <f t="shared" si="3"/>
        <v>6.568201724066995</v>
      </c>
      <c r="D206" s="5" t="s">
        <v>1361</v>
      </c>
      <c r="E206" s="5" t="s">
        <v>1308</v>
      </c>
      <c r="F206" s="5" t="s">
        <v>1396</v>
      </c>
      <c r="G206" s="5" t="s">
        <v>1279</v>
      </c>
      <c r="I206" s="5" t="s">
        <v>1386</v>
      </c>
    </row>
    <row r="207" spans="1:9" x14ac:dyDescent="0.3">
      <c r="A207" s="5" t="s">
        <v>459</v>
      </c>
      <c r="B207" s="8">
        <v>3600000000</v>
      </c>
      <c r="C207" s="9">
        <f t="shared" si="3"/>
        <v>9.5563025007672877</v>
      </c>
      <c r="D207" s="5" t="s">
        <v>1361</v>
      </c>
      <c r="E207" s="5" t="s">
        <v>1376</v>
      </c>
      <c r="F207" s="5" t="s">
        <v>1397</v>
      </c>
      <c r="G207" s="5" t="s">
        <v>1304</v>
      </c>
      <c r="I207" s="5" t="s">
        <v>1386</v>
      </c>
    </row>
    <row r="208" spans="1:9" x14ac:dyDescent="0.3">
      <c r="A208" s="5" t="s">
        <v>462</v>
      </c>
      <c r="B208" s="8">
        <v>1900</v>
      </c>
      <c r="C208" s="9">
        <f t="shared" si="3"/>
        <v>3.2787536009528289</v>
      </c>
      <c r="D208" s="5" t="s">
        <v>1361</v>
      </c>
      <c r="E208" s="5" t="s">
        <v>1288</v>
      </c>
      <c r="F208" s="5" t="s">
        <v>1396</v>
      </c>
      <c r="G208" s="5" t="s">
        <v>1298</v>
      </c>
      <c r="I208" s="5" t="s">
        <v>1386</v>
      </c>
    </row>
    <row r="209" spans="1:9" x14ac:dyDescent="0.3">
      <c r="A209" s="5" t="s">
        <v>465</v>
      </c>
      <c r="B209" s="8">
        <v>11000000</v>
      </c>
      <c r="C209" s="9">
        <f t="shared" si="3"/>
        <v>7.0413926851582254</v>
      </c>
      <c r="D209" s="5" t="s">
        <v>1361</v>
      </c>
      <c r="E209" s="5" t="s">
        <v>1376</v>
      </c>
      <c r="F209" s="5" t="s">
        <v>1396</v>
      </c>
      <c r="G209" s="5" t="s">
        <v>1304</v>
      </c>
      <c r="I209" s="5" t="s">
        <v>1386</v>
      </c>
    </row>
    <row r="210" spans="1:9" x14ac:dyDescent="0.3">
      <c r="A210" s="5" t="s">
        <v>468</v>
      </c>
      <c r="B210" s="8">
        <v>3300000</v>
      </c>
      <c r="C210" s="9">
        <f t="shared" si="3"/>
        <v>6.5185139398778871</v>
      </c>
      <c r="D210" s="5" t="s">
        <v>1361</v>
      </c>
      <c r="E210" s="5" t="s">
        <v>1388</v>
      </c>
      <c r="F210" s="5" t="s">
        <v>1397</v>
      </c>
      <c r="G210" s="5" t="s">
        <v>1294</v>
      </c>
      <c r="I210" s="5" t="s">
        <v>1386</v>
      </c>
    </row>
    <row r="211" spans="1:9" x14ac:dyDescent="0.3">
      <c r="A211" s="5" t="s">
        <v>471</v>
      </c>
      <c r="B211" s="8">
        <v>0.01</v>
      </c>
      <c r="C211" s="9">
        <f t="shared" si="3"/>
        <v>-2</v>
      </c>
      <c r="D211" s="5" t="s">
        <v>1361</v>
      </c>
      <c r="E211" s="5" t="s">
        <v>1288</v>
      </c>
      <c r="F211" s="5" t="s">
        <v>1396</v>
      </c>
      <c r="G211" s="5" t="s">
        <v>1298</v>
      </c>
      <c r="I211" s="5" t="s">
        <v>1386</v>
      </c>
    </row>
    <row r="212" spans="1:9" x14ac:dyDescent="0.3">
      <c r="A212" s="5" t="s">
        <v>474</v>
      </c>
      <c r="B212" s="8">
        <v>2000000</v>
      </c>
      <c r="C212" s="9">
        <f t="shared" si="3"/>
        <v>6.3010299956639813</v>
      </c>
      <c r="D212" s="5" t="s">
        <v>1361</v>
      </c>
      <c r="E212" s="5" t="s">
        <v>1308</v>
      </c>
      <c r="F212" s="5" t="s">
        <v>1396</v>
      </c>
      <c r="G212" s="5" t="s">
        <v>1279</v>
      </c>
      <c r="I212" s="5" t="s">
        <v>1386</v>
      </c>
    </row>
    <row r="213" spans="1:9" x14ac:dyDescent="0.3">
      <c r="A213" s="5" t="s">
        <v>477</v>
      </c>
      <c r="B213" s="8">
        <v>980000</v>
      </c>
      <c r="C213" s="9">
        <f t="shared" si="3"/>
        <v>5.9912260756924951</v>
      </c>
      <c r="D213" s="5" t="s">
        <v>1361</v>
      </c>
      <c r="E213" s="5" t="s">
        <v>1388</v>
      </c>
      <c r="F213" s="5" t="s">
        <v>1397</v>
      </c>
      <c r="G213" s="5" t="s">
        <v>1294</v>
      </c>
      <c r="I213" s="5" t="s">
        <v>1386</v>
      </c>
    </row>
    <row r="214" spans="1:9" x14ac:dyDescent="0.3">
      <c r="A214" s="5" t="s">
        <v>480</v>
      </c>
      <c r="B214" s="8">
        <v>0.94</v>
      </c>
      <c r="C214" s="9">
        <f t="shared" si="3"/>
        <v>-2.6872146400301365E-2</v>
      </c>
      <c r="D214" s="5" t="s">
        <v>1361</v>
      </c>
      <c r="E214" s="5">
        <v>20</v>
      </c>
      <c r="F214" s="5" t="s">
        <v>1397</v>
      </c>
      <c r="G214" s="5" t="s">
        <v>1305</v>
      </c>
      <c r="I214" s="5" t="s">
        <v>1386</v>
      </c>
    </row>
    <row r="215" spans="1:9" x14ac:dyDescent="0.3">
      <c r="A215" s="5" t="s">
        <v>483</v>
      </c>
      <c r="B215" s="8">
        <v>1000000</v>
      </c>
      <c r="C215" s="9">
        <f t="shared" si="3"/>
        <v>6</v>
      </c>
      <c r="D215" s="5" t="s">
        <v>1361</v>
      </c>
      <c r="E215" s="5" t="s">
        <v>1306</v>
      </c>
      <c r="F215" s="5" t="s">
        <v>1397</v>
      </c>
      <c r="G215" s="5" t="s">
        <v>1307</v>
      </c>
      <c r="I215" s="5" t="s">
        <v>1386</v>
      </c>
    </row>
    <row r="216" spans="1:9" x14ac:dyDescent="0.3">
      <c r="A216" s="5" t="s">
        <v>486</v>
      </c>
      <c r="B216" s="8">
        <v>2200000</v>
      </c>
      <c r="C216" s="9">
        <f t="shared" si="3"/>
        <v>6.3424226808222066</v>
      </c>
      <c r="D216" s="5" t="s">
        <v>1361</v>
      </c>
      <c r="E216" s="5" t="s">
        <v>1388</v>
      </c>
      <c r="F216" s="5" t="s">
        <v>1396</v>
      </c>
      <c r="G216" s="5" t="s">
        <v>1293</v>
      </c>
      <c r="H216" s="10">
        <v>0.16224010340856745</v>
      </c>
      <c r="I216" s="5" t="s">
        <v>1386</v>
      </c>
    </row>
    <row r="217" spans="1:9" x14ac:dyDescent="0.3">
      <c r="A217" s="5" t="s">
        <v>486</v>
      </c>
      <c r="B217" s="8">
        <v>2100000</v>
      </c>
      <c r="C217" s="9">
        <f t="shared" si="3"/>
        <v>6.3222192947339195</v>
      </c>
      <c r="D217" s="5" t="s">
        <v>1361</v>
      </c>
      <c r="E217" s="5" t="s">
        <v>1363</v>
      </c>
      <c r="F217" s="5" t="s">
        <v>1396</v>
      </c>
      <c r="G217" s="5" t="s">
        <v>1268</v>
      </c>
      <c r="H217" s="10">
        <v>0.16224010340856745</v>
      </c>
      <c r="I217" s="5" t="s">
        <v>1386</v>
      </c>
    </row>
    <row r="218" spans="1:9" x14ac:dyDescent="0.3">
      <c r="A218" s="5" t="s">
        <v>486</v>
      </c>
      <c r="B218" s="8">
        <v>4100000</v>
      </c>
      <c r="C218" s="9">
        <f t="shared" si="3"/>
        <v>6.6127838567197355</v>
      </c>
      <c r="D218" s="5" t="s">
        <v>1361</v>
      </c>
      <c r="E218" s="5" t="s">
        <v>1388</v>
      </c>
      <c r="F218" s="5" t="s">
        <v>1397</v>
      </c>
      <c r="G218" s="5" t="s">
        <v>1294</v>
      </c>
      <c r="H218" s="10">
        <v>0.16224010340856745</v>
      </c>
      <c r="I218" s="5" t="s">
        <v>1386</v>
      </c>
    </row>
    <row r="219" spans="1:9" x14ac:dyDescent="0.3">
      <c r="A219" s="5" t="s">
        <v>489</v>
      </c>
      <c r="B219" s="8">
        <v>4100000</v>
      </c>
      <c r="C219" s="9">
        <f t="shared" si="3"/>
        <v>6.6127838567197355</v>
      </c>
      <c r="D219" s="5" t="s">
        <v>1361</v>
      </c>
      <c r="E219" s="5" t="s">
        <v>1308</v>
      </c>
      <c r="F219" s="5" t="s">
        <v>1396</v>
      </c>
      <c r="G219" s="5" t="s">
        <v>1263</v>
      </c>
      <c r="I219" s="5" t="s">
        <v>1386</v>
      </c>
    </row>
    <row r="220" spans="1:9" x14ac:dyDescent="0.3">
      <c r="A220" s="5" t="s">
        <v>492</v>
      </c>
      <c r="B220" s="8">
        <v>2700000</v>
      </c>
      <c r="C220" s="9">
        <f t="shared" si="3"/>
        <v>6.4313637641589869</v>
      </c>
      <c r="D220" s="5" t="s">
        <v>1361</v>
      </c>
      <c r="E220" s="5" t="s">
        <v>1308</v>
      </c>
      <c r="F220" s="5" t="s">
        <v>1397</v>
      </c>
      <c r="G220" s="5" t="s">
        <v>1279</v>
      </c>
      <c r="I220" s="5" t="s">
        <v>1386</v>
      </c>
    </row>
    <row r="221" spans="1:9" x14ac:dyDescent="0.3">
      <c r="A221" s="5" t="s">
        <v>1309</v>
      </c>
      <c r="B221" s="8">
        <v>2800000</v>
      </c>
      <c r="C221" s="9">
        <f t="shared" si="3"/>
        <v>6.4471580313422194</v>
      </c>
      <c r="D221" s="5" t="s">
        <v>1361</v>
      </c>
      <c r="E221" s="5" t="s">
        <v>1302</v>
      </c>
      <c r="F221" s="5" t="s">
        <v>1396</v>
      </c>
      <c r="G221" s="5" t="s">
        <v>1303</v>
      </c>
      <c r="I221" s="5" t="s">
        <v>1386</v>
      </c>
    </row>
    <row r="222" spans="1:9" x14ac:dyDescent="0.3">
      <c r="A222" s="5" t="s">
        <v>497</v>
      </c>
      <c r="B222" s="8">
        <v>60</v>
      </c>
      <c r="C222" s="9">
        <f t="shared" si="3"/>
        <v>1.7781512503836436</v>
      </c>
      <c r="D222" s="5" t="s">
        <v>1361</v>
      </c>
      <c r="E222" s="5" t="s">
        <v>1363</v>
      </c>
      <c r="F222" s="5" t="s">
        <v>1396</v>
      </c>
      <c r="G222" s="5" t="s">
        <v>1268</v>
      </c>
      <c r="I222" s="5" t="s">
        <v>1386</v>
      </c>
    </row>
    <row r="223" spans="1:9" x14ac:dyDescent="0.3">
      <c r="A223" s="5" t="s">
        <v>499</v>
      </c>
      <c r="B223" s="8">
        <v>1</v>
      </c>
      <c r="C223" s="9">
        <f t="shared" si="3"/>
        <v>0</v>
      </c>
      <c r="D223" s="5" t="s">
        <v>1361</v>
      </c>
      <c r="E223" s="5" t="s">
        <v>1363</v>
      </c>
      <c r="F223" s="5" t="s">
        <v>1396</v>
      </c>
      <c r="G223" s="5" t="s">
        <v>1268</v>
      </c>
      <c r="I223" s="5" t="s">
        <v>1386</v>
      </c>
    </row>
    <row r="224" spans="1:9" x14ac:dyDescent="0.3">
      <c r="A224" s="5" t="s">
        <v>501</v>
      </c>
      <c r="B224" s="8">
        <v>1</v>
      </c>
      <c r="C224" s="9">
        <f t="shared" si="3"/>
        <v>0</v>
      </c>
      <c r="D224" s="5" t="s">
        <v>1361</v>
      </c>
      <c r="E224" s="5" t="s">
        <v>1308</v>
      </c>
      <c r="F224" s="5" t="s">
        <v>1396</v>
      </c>
      <c r="G224" s="5" t="s">
        <v>1279</v>
      </c>
      <c r="I224" s="5" t="s">
        <v>1386</v>
      </c>
    </row>
    <row r="225" spans="1:9" x14ac:dyDescent="0.3">
      <c r="A225" s="5" t="s">
        <v>503</v>
      </c>
      <c r="B225" s="8">
        <v>1</v>
      </c>
      <c r="C225" s="9">
        <f t="shared" si="3"/>
        <v>0</v>
      </c>
      <c r="D225" s="5" t="s">
        <v>1361</v>
      </c>
      <c r="E225" s="5" t="s">
        <v>1308</v>
      </c>
      <c r="F225" s="5" t="s">
        <v>1396</v>
      </c>
      <c r="G225" s="5" t="s">
        <v>1279</v>
      </c>
      <c r="I225" s="5" t="s">
        <v>1386</v>
      </c>
    </row>
    <row r="226" spans="1:9" x14ac:dyDescent="0.3">
      <c r="A226" s="5" t="s">
        <v>505</v>
      </c>
      <c r="B226" s="8">
        <v>33</v>
      </c>
      <c r="C226" s="9">
        <f t="shared" si="3"/>
        <v>1.5185139398778875</v>
      </c>
      <c r="D226" s="5" t="s">
        <v>1361</v>
      </c>
      <c r="E226" s="5" t="s">
        <v>1363</v>
      </c>
      <c r="F226" s="5" t="s">
        <v>1396</v>
      </c>
      <c r="G226" s="5" t="s">
        <v>1268</v>
      </c>
      <c r="I226" s="5" t="s">
        <v>1386</v>
      </c>
    </row>
    <row r="227" spans="1:9" x14ac:dyDescent="0.3">
      <c r="A227" s="5" t="s">
        <v>507</v>
      </c>
      <c r="B227" s="8">
        <v>7.1</v>
      </c>
      <c r="C227" s="9">
        <f t="shared" si="3"/>
        <v>0.85125834871907524</v>
      </c>
      <c r="D227" s="5" t="s">
        <v>1361</v>
      </c>
      <c r="E227" s="5" t="s">
        <v>1363</v>
      </c>
      <c r="F227" s="5" t="s">
        <v>1396</v>
      </c>
      <c r="G227" s="5" t="s">
        <v>1268</v>
      </c>
      <c r="I227" s="5" t="s">
        <v>1386</v>
      </c>
    </row>
    <row r="228" spans="1:9" x14ac:dyDescent="0.3">
      <c r="A228" s="5" t="s">
        <v>509</v>
      </c>
      <c r="B228" s="8">
        <v>387</v>
      </c>
      <c r="C228" s="9">
        <f t="shared" si="3"/>
        <v>2.5877109650189114</v>
      </c>
      <c r="D228" s="5" t="s">
        <v>1361</v>
      </c>
      <c r="E228" s="5" t="s">
        <v>1363</v>
      </c>
      <c r="F228" s="5" t="s">
        <v>1396</v>
      </c>
      <c r="G228" s="5" t="s">
        <v>1268</v>
      </c>
      <c r="I228" s="5" t="s">
        <v>1386</v>
      </c>
    </row>
    <row r="229" spans="1:9" x14ac:dyDescent="0.3">
      <c r="A229" s="5" t="s">
        <v>511</v>
      </c>
      <c r="B229" s="8">
        <v>0.1</v>
      </c>
      <c r="C229" s="9">
        <f t="shared" si="3"/>
        <v>-1</v>
      </c>
      <c r="D229" s="5" t="s">
        <v>1361</v>
      </c>
      <c r="E229" s="5" t="s">
        <v>1363</v>
      </c>
      <c r="F229" s="5" t="s">
        <v>1396</v>
      </c>
      <c r="G229" s="5" t="s">
        <v>1268</v>
      </c>
      <c r="I229" s="5" t="s">
        <v>1386</v>
      </c>
    </row>
    <row r="230" spans="1:9" x14ac:dyDescent="0.3">
      <c r="A230" s="5" t="s">
        <v>513</v>
      </c>
      <c r="B230" s="8">
        <v>0.1</v>
      </c>
      <c r="C230" s="9">
        <f t="shared" si="3"/>
        <v>-1</v>
      </c>
      <c r="D230" s="5" t="s">
        <v>1361</v>
      </c>
      <c r="E230" s="5" t="s">
        <v>1363</v>
      </c>
      <c r="F230" s="5" t="s">
        <v>1396</v>
      </c>
      <c r="G230" s="5" t="s">
        <v>1268</v>
      </c>
      <c r="I230" s="5" t="s">
        <v>1386</v>
      </c>
    </row>
    <row r="231" spans="1:9" x14ac:dyDescent="0.3">
      <c r="A231" s="5" t="s">
        <v>515</v>
      </c>
      <c r="B231" s="8">
        <v>0.2</v>
      </c>
      <c r="C231" s="9">
        <f t="shared" si="3"/>
        <v>-0.69897000433601875</v>
      </c>
      <c r="D231" s="5" t="s">
        <v>1361</v>
      </c>
      <c r="E231" s="5" t="s">
        <v>1363</v>
      </c>
      <c r="F231" s="5" t="s">
        <v>1396</v>
      </c>
      <c r="G231" s="5" t="s">
        <v>1268</v>
      </c>
      <c r="I231" s="5" t="s">
        <v>1386</v>
      </c>
    </row>
    <row r="232" spans="1:9" x14ac:dyDescent="0.3">
      <c r="A232" s="5" t="s">
        <v>517</v>
      </c>
      <c r="B232" s="8">
        <v>0.9</v>
      </c>
      <c r="C232" s="9">
        <f t="shared" si="3"/>
        <v>-4.5757490560675115E-2</v>
      </c>
      <c r="D232" s="5" t="s">
        <v>1361</v>
      </c>
      <c r="E232" s="5" t="s">
        <v>1363</v>
      </c>
      <c r="F232" s="5" t="s">
        <v>1396</v>
      </c>
      <c r="G232" s="5" t="s">
        <v>1268</v>
      </c>
      <c r="I232" s="5" t="s">
        <v>1386</v>
      </c>
    </row>
    <row r="233" spans="1:9" x14ac:dyDescent="0.3">
      <c r="A233" s="5" t="s">
        <v>519</v>
      </c>
      <c r="B233" s="8">
        <v>2.2999999999999998</v>
      </c>
      <c r="C233" s="9">
        <f t="shared" si="3"/>
        <v>0.36172783601759284</v>
      </c>
      <c r="D233" s="5" t="s">
        <v>1361</v>
      </c>
      <c r="E233" s="5" t="s">
        <v>1363</v>
      </c>
      <c r="F233" s="5" t="s">
        <v>1396</v>
      </c>
      <c r="G233" s="5" t="s">
        <v>1268</v>
      </c>
      <c r="I233" s="5" t="s">
        <v>1386</v>
      </c>
    </row>
    <row r="234" spans="1:9" x14ac:dyDescent="0.3">
      <c r="A234" s="5" t="s">
        <v>521</v>
      </c>
      <c r="B234" s="8">
        <v>6.6</v>
      </c>
      <c r="C234" s="9">
        <f t="shared" si="3"/>
        <v>0.81954393554186866</v>
      </c>
      <c r="D234" s="5" t="s">
        <v>1361</v>
      </c>
      <c r="E234" s="5" t="s">
        <v>1363</v>
      </c>
      <c r="F234" s="5" t="s">
        <v>1396</v>
      </c>
      <c r="G234" s="5" t="s">
        <v>1268</v>
      </c>
      <c r="I234" s="5" t="s">
        <v>1386</v>
      </c>
    </row>
    <row r="235" spans="1:9" x14ac:dyDescent="0.3">
      <c r="A235" s="5" t="s">
        <v>523</v>
      </c>
      <c r="B235" s="8">
        <v>535</v>
      </c>
      <c r="C235" s="9">
        <f t="shared" si="3"/>
        <v>2.7283537820212285</v>
      </c>
      <c r="D235" s="5" t="s">
        <v>1361</v>
      </c>
      <c r="E235" s="5" t="s">
        <v>1363</v>
      </c>
      <c r="F235" s="5" t="s">
        <v>1396</v>
      </c>
      <c r="G235" s="5" t="s">
        <v>1268</v>
      </c>
      <c r="I235" s="5" t="s">
        <v>1386</v>
      </c>
    </row>
    <row r="236" spans="1:9" x14ac:dyDescent="0.3">
      <c r="A236" s="5" t="s">
        <v>526</v>
      </c>
      <c r="B236" s="8">
        <v>0.01</v>
      </c>
      <c r="C236" s="9">
        <f t="shared" si="3"/>
        <v>-2</v>
      </c>
      <c r="D236" s="5" t="s">
        <v>1361</v>
      </c>
      <c r="E236" s="5" t="s">
        <v>1363</v>
      </c>
      <c r="F236" s="5" t="s">
        <v>1396</v>
      </c>
      <c r="G236" s="5" t="s">
        <v>1268</v>
      </c>
      <c r="I236" s="5" t="s">
        <v>1386</v>
      </c>
    </row>
    <row r="237" spans="1:9" x14ac:dyDescent="0.3">
      <c r="A237" s="5" t="s">
        <v>529</v>
      </c>
      <c r="B237" s="8">
        <v>5.8</v>
      </c>
      <c r="C237" s="9">
        <f t="shared" si="3"/>
        <v>0.76342799356293722</v>
      </c>
      <c r="D237" s="5" t="s">
        <v>1361</v>
      </c>
      <c r="E237" s="5" t="s">
        <v>1363</v>
      </c>
      <c r="F237" s="5" t="s">
        <v>1396</v>
      </c>
      <c r="G237" s="5" t="s">
        <v>1268</v>
      </c>
      <c r="I237" s="5" t="s">
        <v>1386</v>
      </c>
    </row>
    <row r="238" spans="1:9" x14ac:dyDescent="0.3">
      <c r="A238" s="5" t="s">
        <v>531</v>
      </c>
      <c r="B238" s="8">
        <v>300</v>
      </c>
      <c r="C238" s="9">
        <f t="shared" si="3"/>
        <v>2.4771212547196626</v>
      </c>
      <c r="D238" s="5" t="s">
        <v>1361</v>
      </c>
      <c r="E238" s="5" t="s">
        <v>1363</v>
      </c>
      <c r="F238" s="5" t="s">
        <v>1396</v>
      </c>
      <c r="G238" s="5" t="s">
        <v>1268</v>
      </c>
      <c r="I238" s="5" t="s">
        <v>1386</v>
      </c>
    </row>
    <row r="239" spans="1:9" x14ac:dyDescent="0.3">
      <c r="A239" s="5" t="s">
        <v>533</v>
      </c>
      <c r="B239" s="8">
        <v>1</v>
      </c>
      <c r="C239" s="9">
        <f t="shared" si="3"/>
        <v>0</v>
      </c>
      <c r="D239" s="5" t="s">
        <v>1361</v>
      </c>
      <c r="E239" s="5" t="s">
        <v>1308</v>
      </c>
      <c r="F239" s="5" t="s">
        <v>1396</v>
      </c>
      <c r="G239" s="5" t="s">
        <v>1279</v>
      </c>
      <c r="I239" s="5" t="s">
        <v>1386</v>
      </c>
    </row>
    <row r="240" spans="1:9" x14ac:dyDescent="0.3">
      <c r="A240" s="5" t="s">
        <v>535</v>
      </c>
      <c r="B240" s="8">
        <v>0.2</v>
      </c>
      <c r="C240" s="9">
        <f t="shared" si="3"/>
        <v>-0.69897000433601875</v>
      </c>
      <c r="D240" s="5" t="s">
        <v>1361</v>
      </c>
      <c r="E240" s="5" t="s">
        <v>1376</v>
      </c>
      <c r="F240" s="5" t="s">
        <v>1396</v>
      </c>
      <c r="G240" s="5" t="s">
        <v>1304</v>
      </c>
      <c r="I240" s="5" t="s">
        <v>1386</v>
      </c>
    </row>
    <row r="241" spans="1:9" x14ac:dyDescent="0.3">
      <c r="A241" s="5" t="s">
        <v>537</v>
      </c>
      <c r="B241" s="8">
        <v>10</v>
      </c>
      <c r="C241" s="9">
        <f t="shared" si="3"/>
        <v>1</v>
      </c>
      <c r="D241" s="5" t="s">
        <v>1361</v>
      </c>
      <c r="E241" s="5" t="s">
        <v>1308</v>
      </c>
      <c r="F241" s="5" t="s">
        <v>1396</v>
      </c>
      <c r="G241" s="5" t="s">
        <v>1279</v>
      </c>
      <c r="I241" s="5" t="s">
        <v>1386</v>
      </c>
    </row>
    <row r="242" spans="1:9" x14ac:dyDescent="0.3">
      <c r="A242" s="5" t="s">
        <v>539</v>
      </c>
      <c r="B242" s="8">
        <v>1</v>
      </c>
      <c r="C242" s="9">
        <f t="shared" si="3"/>
        <v>0</v>
      </c>
      <c r="D242" s="5" t="s">
        <v>1361</v>
      </c>
      <c r="E242" s="5" t="s">
        <v>1308</v>
      </c>
      <c r="F242" s="5" t="s">
        <v>1396</v>
      </c>
      <c r="G242" s="5" t="s">
        <v>1279</v>
      </c>
      <c r="I242" s="5" t="s">
        <v>1386</v>
      </c>
    </row>
    <row r="243" spans="1:9" x14ac:dyDescent="0.3">
      <c r="A243" s="5" t="s">
        <v>541</v>
      </c>
      <c r="B243" s="8">
        <v>5.2</v>
      </c>
      <c r="C243" s="9">
        <f t="shared" si="3"/>
        <v>0.71600334363479923</v>
      </c>
      <c r="D243" s="5" t="s">
        <v>1361</v>
      </c>
      <c r="E243" s="5" t="s">
        <v>1363</v>
      </c>
      <c r="F243" s="5" t="s">
        <v>1396</v>
      </c>
      <c r="G243" s="5" t="s">
        <v>1268</v>
      </c>
      <c r="I243" s="5" t="s">
        <v>1386</v>
      </c>
    </row>
    <row r="244" spans="1:9" x14ac:dyDescent="0.3">
      <c r="A244" s="5" t="s">
        <v>543</v>
      </c>
      <c r="B244" s="8">
        <v>2.27</v>
      </c>
      <c r="C244" s="9">
        <f t="shared" si="3"/>
        <v>0.35602585719312274</v>
      </c>
      <c r="D244" s="5" t="s">
        <v>1361</v>
      </c>
      <c r="E244" s="5" t="s">
        <v>1310</v>
      </c>
      <c r="F244" s="5" t="s">
        <v>1396</v>
      </c>
      <c r="G244" s="5" t="s">
        <v>1311</v>
      </c>
      <c r="H244" s="10">
        <v>8.5627376761496843E-2</v>
      </c>
      <c r="I244" s="5" t="s">
        <v>1386</v>
      </c>
    </row>
    <row r="245" spans="1:9" x14ac:dyDescent="0.3">
      <c r="A245" s="5" t="s">
        <v>543</v>
      </c>
      <c r="B245" s="8">
        <v>3</v>
      </c>
      <c r="C245" s="9">
        <f t="shared" si="3"/>
        <v>0.47712125471966244</v>
      </c>
      <c r="D245" s="5" t="s">
        <v>1361</v>
      </c>
      <c r="E245" s="5" t="s">
        <v>1260</v>
      </c>
      <c r="F245" s="5" t="s">
        <v>1396</v>
      </c>
      <c r="G245" s="5" t="s">
        <v>1312</v>
      </c>
      <c r="H245" s="10">
        <v>8.5627376761496843E-2</v>
      </c>
      <c r="I245" s="5" t="s">
        <v>1386</v>
      </c>
    </row>
    <row r="246" spans="1:9" x14ac:dyDescent="0.3">
      <c r="A246" s="5" t="s">
        <v>546</v>
      </c>
      <c r="B246" s="8">
        <v>0.24</v>
      </c>
      <c r="C246" s="9">
        <f t="shared" si="3"/>
        <v>-0.61978875828839397</v>
      </c>
      <c r="D246" s="5" t="s">
        <v>1361</v>
      </c>
      <c r="E246" s="5" t="s">
        <v>1376</v>
      </c>
      <c r="F246" s="5" t="s">
        <v>1396</v>
      </c>
      <c r="G246" s="5" t="s">
        <v>1304</v>
      </c>
      <c r="I246" s="5" t="s">
        <v>1386</v>
      </c>
    </row>
    <row r="247" spans="1:9" x14ac:dyDescent="0.3">
      <c r="A247" s="5" t="s">
        <v>549</v>
      </c>
      <c r="B247" s="8">
        <v>0.6</v>
      </c>
      <c r="C247" s="9">
        <f t="shared" si="3"/>
        <v>-0.22184874961635639</v>
      </c>
      <c r="D247" s="5" t="s">
        <v>1361</v>
      </c>
      <c r="E247" s="5" t="s">
        <v>1363</v>
      </c>
      <c r="F247" s="5" t="s">
        <v>1396</v>
      </c>
      <c r="G247" s="5" t="s">
        <v>1268</v>
      </c>
      <c r="I247" s="5" t="s">
        <v>1386</v>
      </c>
    </row>
    <row r="248" spans="1:9" x14ac:dyDescent="0.3">
      <c r="A248" s="5" t="s">
        <v>552</v>
      </c>
      <c r="B248" s="8">
        <v>5.1999999999999998E-2</v>
      </c>
      <c r="C248" s="9">
        <f t="shared" si="3"/>
        <v>-1.2839966563652008</v>
      </c>
      <c r="D248" s="5" t="s">
        <v>1361</v>
      </c>
      <c r="E248" s="5" t="s">
        <v>1376</v>
      </c>
      <c r="F248" s="5" t="s">
        <v>1396</v>
      </c>
      <c r="G248" s="5" t="s">
        <v>1304</v>
      </c>
      <c r="I248" s="5" t="s">
        <v>1386</v>
      </c>
    </row>
    <row r="249" spans="1:9" x14ac:dyDescent="0.3">
      <c r="A249" s="5" t="s">
        <v>555</v>
      </c>
      <c r="B249" s="8">
        <v>3.4</v>
      </c>
      <c r="C249" s="9">
        <f t="shared" si="3"/>
        <v>0.53147891704225514</v>
      </c>
      <c r="D249" s="5" t="s">
        <v>1361</v>
      </c>
      <c r="E249" s="5">
        <v>20</v>
      </c>
      <c r="F249" s="5" t="s">
        <v>1397</v>
      </c>
      <c r="G249" s="5" t="s">
        <v>1305</v>
      </c>
      <c r="I249" s="5" t="s">
        <v>1386</v>
      </c>
    </row>
    <row r="250" spans="1:9" x14ac:dyDescent="0.3">
      <c r="A250" s="5" t="s">
        <v>558</v>
      </c>
      <c r="B250" s="8">
        <v>0.05</v>
      </c>
      <c r="C250" s="9">
        <f t="shared" si="3"/>
        <v>-1.3010299956639813</v>
      </c>
      <c r="D250" s="5" t="s">
        <v>1361</v>
      </c>
      <c r="E250" s="5">
        <v>20</v>
      </c>
      <c r="F250" s="5" t="s">
        <v>1397</v>
      </c>
      <c r="G250" s="5" t="s">
        <v>1313</v>
      </c>
      <c r="I250" s="5" t="s">
        <v>1386</v>
      </c>
    </row>
    <row r="251" spans="1:9" x14ac:dyDescent="0.3">
      <c r="A251" s="5" t="s">
        <v>561</v>
      </c>
      <c r="B251" s="8">
        <v>222</v>
      </c>
      <c r="C251" s="9">
        <f t="shared" si="3"/>
        <v>2.3463529744506388</v>
      </c>
      <c r="D251" s="5" t="s">
        <v>1361</v>
      </c>
      <c r="E251" s="5">
        <v>20</v>
      </c>
      <c r="F251" s="5" t="s">
        <v>1397</v>
      </c>
      <c r="G251" s="5" t="s">
        <v>1305</v>
      </c>
      <c r="I251" s="5" t="s">
        <v>1386</v>
      </c>
    </row>
    <row r="252" spans="1:9" x14ac:dyDescent="0.3">
      <c r="A252" s="5" t="s">
        <v>564</v>
      </c>
      <c r="B252" s="8">
        <v>14.7</v>
      </c>
      <c r="C252" s="9">
        <f t="shared" si="3"/>
        <v>1.167317334748176</v>
      </c>
      <c r="D252" s="5" t="s">
        <v>1361</v>
      </c>
      <c r="E252" s="5">
        <v>20</v>
      </c>
      <c r="F252" s="5" t="s">
        <v>1397</v>
      </c>
      <c r="G252" s="5" t="s">
        <v>1305</v>
      </c>
      <c r="I252" s="5" t="s">
        <v>1386</v>
      </c>
    </row>
    <row r="253" spans="1:9" x14ac:dyDescent="0.3">
      <c r="A253" s="5" t="s">
        <v>567</v>
      </c>
      <c r="B253" s="8">
        <v>0.8</v>
      </c>
      <c r="C253" s="9">
        <f t="shared" si="3"/>
        <v>-9.6910013008056392E-2</v>
      </c>
      <c r="D253" s="5" t="s">
        <v>1361</v>
      </c>
      <c r="E253" s="5">
        <v>20</v>
      </c>
      <c r="F253" s="5" t="s">
        <v>1396</v>
      </c>
      <c r="G253" s="5" t="s">
        <v>1286</v>
      </c>
      <c r="I253" s="5" t="s">
        <v>1386</v>
      </c>
    </row>
    <row r="254" spans="1:9" x14ac:dyDescent="0.3">
      <c r="A254" s="5" t="s">
        <v>570</v>
      </c>
      <c r="B254" s="8">
        <v>0.8</v>
      </c>
      <c r="C254" s="9">
        <f t="shared" si="3"/>
        <v>-9.6910013008056392E-2</v>
      </c>
      <c r="D254" s="5" t="s">
        <v>1361</v>
      </c>
      <c r="E254" s="5">
        <v>20</v>
      </c>
      <c r="F254" s="5" t="s">
        <v>1396</v>
      </c>
      <c r="G254" s="5" t="s">
        <v>1286</v>
      </c>
      <c r="I254" s="5" t="s">
        <v>1386</v>
      </c>
    </row>
    <row r="255" spans="1:9" x14ac:dyDescent="0.3">
      <c r="A255" s="5" t="s">
        <v>573</v>
      </c>
      <c r="B255" s="8">
        <v>0.8</v>
      </c>
      <c r="C255" s="9">
        <f t="shared" si="3"/>
        <v>-9.6910013008056392E-2</v>
      </c>
      <c r="D255" s="5" t="s">
        <v>1361</v>
      </c>
      <c r="E255" s="5">
        <v>20</v>
      </c>
      <c r="F255" s="5" t="s">
        <v>1396</v>
      </c>
      <c r="G255" s="5" t="s">
        <v>1286</v>
      </c>
      <c r="I255" s="5" t="s">
        <v>1386</v>
      </c>
    </row>
    <row r="256" spans="1:9" x14ac:dyDescent="0.3">
      <c r="A256" s="5" t="s">
        <v>576</v>
      </c>
      <c r="B256" s="8">
        <v>1300</v>
      </c>
      <c r="C256" s="9">
        <f t="shared" si="3"/>
        <v>3.1139433523068369</v>
      </c>
      <c r="D256" s="5" t="s">
        <v>1361</v>
      </c>
      <c r="E256" s="5">
        <v>20</v>
      </c>
      <c r="F256" s="5" t="s">
        <v>1397</v>
      </c>
      <c r="G256" s="5" t="s">
        <v>1305</v>
      </c>
      <c r="I256" s="5" t="s">
        <v>1386</v>
      </c>
    </row>
    <row r="257" spans="1:9" x14ac:dyDescent="0.3">
      <c r="A257" s="5" t="s">
        <v>579</v>
      </c>
      <c r="B257" s="8">
        <v>3.8</v>
      </c>
      <c r="C257" s="9">
        <f t="shared" si="3"/>
        <v>0.57978359661681012</v>
      </c>
      <c r="D257" s="5" t="s">
        <v>1361</v>
      </c>
      <c r="E257" s="5">
        <v>20</v>
      </c>
      <c r="F257" s="5" t="s">
        <v>1397</v>
      </c>
      <c r="G257" s="5" t="s">
        <v>1305</v>
      </c>
      <c r="I257" s="5" t="s">
        <v>1386</v>
      </c>
    </row>
    <row r="258" spans="1:9" x14ac:dyDescent="0.3">
      <c r="A258" s="5" t="s">
        <v>582</v>
      </c>
      <c r="B258" s="8">
        <v>3</v>
      </c>
      <c r="C258" s="9">
        <f t="shared" si="3"/>
        <v>0.47712125471966244</v>
      </c>
      <c r="D258" s="5" t="s">
        <v>1361</v>
      </c>
      <c r="E258" s="5">
        <v>20</v>
      </c>
      <c r="F258" s="5" t="s">
        <v>1397</v>
      </c>
      <c r="G258" s="5" t="s">
        <v>1305</v>
      </c>
      <c r="I258" s="5" t="s">
        <v>1386</v>
      </c>
    </row>
    <row r="259" spans="1:9" x14ac:dyDescent="0.3">
      <c r="A259" s="5" t="s">
        <v>1384</v>
      </c>
      <c r="B259" s="8">
        <v>0.94</v>
      </c>
      <c r="C259" s="9">
        <f t="shared" ref="C259:C322" si="4">LOG10(B259)</f>
        <v>-2.6872146400301365E-2</v>
      </c>
      <c r="D259" s="5" t="s">
        <v>1361</v>
      </c>
      <c r="E259" s="5">
        <v>20</v>
      </c>
      <c r="F259" s="5" t="s">
        <v>1397</v>
      </c>
      <c r="G259" s="5" t="s">
        <v>1305</v>
      </c>
      <c r="I259" s="5" t="s">
        <v>1386</v>
      </c>
    </row>
    <row r="260" spans="1:9" x14ac:dyDescent="0.3">
      <c r="A260" s="5" t="s">
        <v>587</v>
      </c>
      <c r="B260" s="8">
        <v>840000</v>
      </c>
      <c r="C260" s="9">
        <f t="shared" si="4"/>
        <v>5.924279286061882</v>
      </c>
      <c r="D260" s="5" t="s">
        <v>1361</v>
      </c>
      <c r="E260" s="5" t="s">
        <v>1363</v>
      </c>
      <c r="F260" s="5" t="s">
        <v>1396</v>
      </c>
      <c r="G260" s="5" t="s">
        <v>1268</v>
      </c>
      <c r="I260" s="5" t="s">
        <v>1386</v>
      </c>
    </row>
    <row r="261" spans="1:9" x14ac:dyDescent="0.3">
      <c r="A261" s="5" t="s">
        <v>590</v>
      </c>
      <c r="B261" s="8">
        <v>1700</v>
      </c>
      <c r="C261" s="9">
        <f t="shared" si="4"/>
        <v>3.2304489213782741</v>
      </c>
      <c r="D261" s="5" t="s">
        <v>1361</v>
      </c>
      <c r="E261" s="5" t="s">
        <v>1363</v>
      </c>
      <c r="F261" s="5" t="s">
        <v>1396</v>
      </c>
      <c r="G261" s="5" t="s">
        <v>1268</v>
      </c>
      <c r="I261" s="5" t="s">
        <v>1386</v>
      </c>
    </row>
    <row r="262" spans="1:9" x14ac:dyDescent="0.3">
      <c r="A262" s="5" t="s">
        <v>593</v>
      </c>
      <c r="B262" s="8">
        <v>3130000</v>
      </c>
      <c r="C262" s="9">
        <f t="shared" si="4"/>
        <v>6.4955443375464483</v>
      </c>
      <c r="D262" s="5" t="s">
        <v>1361</v>
      </c>
      <c r="E262" s="5" t="s">
        <v>1363</v>
      </c>
      <c r="F262" s="5" t="s">
        <v>1396</v>
      </c>
      <c r="G262" s="5" t="s">
        <v>1268</v>
      </c>
      <c r="I262" s="5" t="s">
        <v>1386</v>
      </c>
    </row>
    <row r="263" spans="1:9" x14ac:dyDescent="0.3">
      <c r="A263" s="5" t="s">
        <v>595</v>
      </c>
      <c r="B263" s="8">
        <v>22</v>
      </c>
      <c r="C263" s="9">
        <f t="shared" si="4"/>
        <v>1.3424226808222062</v>
      </c>
      <c r="D263" s="5" t="s">
        <v>1361</v>
      </c>
      <c r="E263" s="5" t="s">
        <v>1314</v>
      </c>
      <c r="F263" s="5" t="s">
        <v>1396</v>
      </c>
      <c r="G263" s="5" t="s">
        <v>1263</v>
      </c>
      <c r="H263" s="10">
        <v>0.91775425755339368</v>
      </c>
      <c r="I263" s="5" t="s">
        <v>1386</v>
      </c>
    </row>
    <row r="264" spans="1:9" x14ac:dyDescent="0.3">
      <c r="A264" s="5" t="s">
        <v>595</v>
      </c>
      <c r="B264" s="8">
        <v>214</v>
      </c>
      <c r="C264" s="9">
        <f t="shared" si="4"/>
        <v>2.330413773349191</v>
      </c>
      <c r="D264" s="5" t="s">
        <v>1361</v>
      </c>
      <c r="E264" s="5" t="s">
        <v>1363</v>
      </c>
      <c r="F264" s="5" t="s">
        <v>1396</v>
      </c>
      <c r="G264" s="5" t="s">
        <v>1268</v>
      </c>
      <c r="H264" s="10">
        <v>0.91775425755339368</v>
      </c>
      <c r="I264" s="5" t="s">
        <v>1386</v>
      </c>
    </row>
    <row r="265" spans="1:9" x14ac:dyDescent="0.3">
      <c r="A265" s="5" t="s">
        <v>595</v>
      </c>
      <c r="B265" s="8">
        <v>1500</v>
      </c>
      <c r="C265" s="9">
        <f t="shared" si="4"/>
        <v>3.1760912590556813</v>
      </c>
      <c r="D265" s="5" t="s">
        <v>1361</v>
      </c>
      <c r="E265" s="5" t="s">
        <v>1388</v>
      </c>
      <c r="F265" s="5" t="s">
        <v>1397</v>
      </c>
      <c r="G265" s="5" t="s">
        <v>1315</v>
      </c>
      <c r="H265" s="10">
        <v>0.91775425755339368</v>
      </c>
      <c r="I265" s="5" t="s">
        <v>1386</v>
      </c>
    </row>
    <row r="266" spans="1:9" x14ac:dyDescent="0.3">
      <c r="A266" s="5" t="s">
        <v>598</v>
      </c>
      <c r="B266" s="8">
        <v>240000</v>
      </c>
      <c r="C266" s="9">
        <f t="shared" si="4"/>
        <v>5.3802112417116064</v>
      </c>
      <c r="D266" s="5" t="s">
        <v>1361</v>
      </c>
      <c r="E266" s="5" t="s">
        <v>1363</v>
      </c>
      <c r="F266" s="5" t="s">
        <v>1396</v>
      </c>
      <c r="G266" s="5" t="s">
        <v>1268</v>
      </c>
      <c r="H266" s="10">
        <v>5.8114812623800742E-2</v>
      </c>
      <c r="I266" s="5" t="s">
        <v>1386</v>
      </c>
    </row>
    <row r="267" spans="1:9" x14ac:dyDescent="0.3">
      <c r="A267" s="5" t="s">
        <v>598</v>
      </c>
      <c r="B267" s="8">
        <v>290000</v>
      </c>
      <c r="C267" s="9">
        <f t="shared" si="4"/>
        <v>5.4623979978989565</v>
      </c>
      <c r="D267" s="5" t="s">
        <v>1361</v>
      </c>
      <c r="E267" s="5" t="s">
        <v>1314</v>
      </c>
      <c r="F267" s="5" t="s">
        <v>1396</v>
      </c>
      <c r="G267" s="5" t="s">
        <v>1263</v>
      </c>
      <c r="H267" s="10">
        <v>5.8114812623800742E-2</v>
      </c>
      <c r="I267" s="5" t="s">
        <v>1386</v>
      </c>
    </row>
    <row r="268" spans="1:9" x14ac:dyDescent="0.3">
      <c r="A268" s="5" t="s">
        <v>600</v>
      </c>
      <c r="B268" s="8">
        <v>2700</v>
      </c>
      <c r="C268" s="9">
        <f t="shared" si="4"/>
        <v>3.4313637641589874</v>
      </c>
      <c r="D268" s="5" t="s">
        <v>1361</v>
      </c>
      <c r="E268" s="5" t="s">
        <v>1363</v>
      </c>
      <c r="F268" s="5" t="s">
        <v>1396</v>
      </c>
      <c r="G268" s="5" t="s">
        <v>1268</v>
      </c>
      <c r="I268" s="5" t="s">
        <v>1386</v>
      </c>
    </row>
    <row r="269" spans="1:9" x14ac:dyDescent="0.3">
      <c r="A269" s="5" t="s">
        <v>603</v>
      </c>
      <c r="B269" s="8">
        <v>210000</v>
      </c>
      <c r="C269" s="9">
        <f t="shared" si="4"/>
        <v>5.3222192947339195</v>
      </c>
      <c r="D269" s="5" t="s">
        <v>1361</v>
      </c>
      <c r="E269" s="5" t="s">
        <v>1363</v>
      </c>
      <c r="F269" s="5" t="s">
        <v>1396</v>
      </c>
      <c r="G269" s="5" t="s">
        <v>1268</v>
      </c>
      <c r="I269" s="5" t="s">
        <v>1386</v>
      </c>
    </row>
    <row r="270" spans="1:9" x14ac:dyDescent="0.3">
      <c r="A270" s="5" t="s">
        <v>605</v>
      </c>
      <c r="B270" s="8">
        <v>2400000</v>
      </c>
      <c r="C270" s="9">
        <f t="shared" si="4"/>
        <v>6.3802112417116064</v>
      </c>
      <c r="D270" s="5" t="s">
        <v>1361</v>
      </c>
      <c r="E270" s="5" t="s">
        <v>1376</v>
      </c>
      <c r="F270" s="5" t="s">
        <v>1396</v>
      </c>
      <c r="G270" s="5" t="s">
        <v>1304</v>
      </c>
      <c r="I270" s="5" t="s">
        <v>1386</v>
      </c>
    </row>
    <row r="271" spans="1:9" x14ac:dyDescent="0.3">
      <c r="A271" s="5" t="s">
        <v>1393</v>
      </c>
      <c r="B271" s="8">
        <v>7000000</v>
      </c>
      <c r="C271" s="9">
        <f t="shared" si="4"/>
        <v>6.8450980400142569</v>
      </c>
      <c r="D271" s="5" t="s">
        <v>1361</v>
      </c>
      <c r="E271" s="5" t="s">
        <v>1363</v>
      </c>
      <c r="F271" s="5" t="s">
        <v>1396</v>
      </c>
      <c r="G271" s="5" t="s">
        <v>1268</v>
      </c>
      <c r="I271" s="5" t="s">
        <v>1386</v>
      </c>
    </row>
    <row r="272" spans="1:9" x14ac:dyDescent="0.3">
      <c r="A272" s="5" t="s">
        <v>1394</v>
      </c>
      <c r="B272" s="8">
        <v>1300000</v>
      </c>
      <c r="C272" s="9">
        <f t="shared" si="4"/>
        <v>6.1139433523068369</v>
      </c>
      <c r="D272" s="5" t="s">
        <v>1361</v>
      </c>
      <c r="E272" s="5" t="s">
        <v>1308</v>
      </c>
      <c r="F272" s="5" t="s">
        <v>1397</v>
      </c>
      <c r="G272" s="5" t="s">
        <v>1279</v>
      </c>
      <c r="I272" s="5" t="s">
        <v>1386</v>
      </c>
    </row>
    <row r="273" spans="1:9" x14ac:dyDescent="0.3">
      <c r="A273" s="5" t="s">
        <v>611</v>
      </c>
      <c r="B273" s="8">
        <v>2900</v>
      </c>
      <c r="C273" s="9">
        <f t="shared" si="4"/>
        <v>3.4623979978989561</v>
      </c>
      <c r="D273" s="5" t="s">
        <v>1361</v>
      </c>
      <c r="E273" s="5" t="s">
        <v>1308</v>
      </c>
      <c r="F273" s="5" t="s">
        <v>1397</v>
      </c>
      <c r="G273" s="5" t="s">
        <v>1279</v>
      </c>
      <c r="I273" s="5" t="s">
        <v>1386</v>
      </c>
    </row>
    <row r="274" spans="1:9" x14ac:dyDescent="0.3">
      <c r="A274" s="5" t="s">
        <v>614</v>
      </c>
      <c r="B274" s="8">
        <v>500</v>
      </c>
      <c r="C274" s="9">
        <f t="shared" si="4"/>
        <v>2.6989700043360187</v>
      </c>
      <c r="D274" s="5" t="s">
        <v>1361</v>
      </c>
      <c r="E274" s="5" t="s">
        <v>1308</v>
      </c>
      <c r="F274" s="5" t="s">
        <v>1397</v>
      </c>
      <c r="G274" s="5" t="s">
        <v>1279</v>
      </c>
      <c r="I274" s="5" t="s">
        <v>1386</v>
      </c>
    </row>
    <row r="275" spans="1:9" x14ac:dyDescent="0.3">
      <c r="A275" s="5" t="s">
        <v>616</v>
      </c>
      <c r="B275" s="8">
        <v>520000</v>
      </c>
      <c r="C275" s="9">
        <f t="shared" si="4"/>
        <v>5.7160033436347994</v>
      </c>
      <c r="D275" s="5" t="s">
        <v>1361</v>
      </c>
      <c r="E275" s="5" t="s">
        <v>1308</v>
      </c>
      <c r="F275" s="5" t="s">
        <v>1397</v>
      </c>
      <c r="G275" s="5" t="s">
        <v>1279</v>
      </c>
      <c r="I275" s="5" t="s">
        <v>1386</v>
      </c>
    </row>
    <row r="276" spans="1:9" x14ac:dyDescent="0.3">
      <c r="A276" s="5" t="s">
        <v>619</v>
      </c>
      <c r="B276" s="8">
        <v>12</v>
      </c>
      <c r="C276" s="9">
        <f t="shared" si="4"/>
        <v>1.0791812460476249</v>
      </c>
      <c r="D276" s="5" t="s">
        <v>1361</v>
      </c>
      <c r="E276" s="5" t="s">
        <v>1250</v>
      </c>
      <c r="F276" s="5" t="s">
        <v>1397</v>
      </c>
      <c r="G276" s="5" t="s">
        <v>1251</v>
      </c>
      <c r="I276" s="5" t="s">
        <v>1386</v>
      </c>
    </row>
    <row r="277" spans="1:9" x14ac:dyDescent="0.3">
      <c r="A277" s="5" t="s">
        <v>622</v>
      </c>
      <c r="B277" s="8">
        <v>130000</v>
      </c>
      <c r="C277" s="9">
        <f t="shared" si="4"/>
        <v>5.1139433523068369</v>
      </c>
      <c r="D277" s="5" t="s">
        <v>1361</v>
      </c>
      <c r="E277" s="5" t="s">
        <v>1250</v>
      </c>
      <c r="F277" s="5" t="s">
        <v>1397</v>
      </c>
      <c r="G277" s="5" t="s">
        <v>1251</v>
      </c>
      <c r="I277" s="5" t="s">
        <v>1386</v>
      </c>
    </row>
    <row r="278" spans="1:9" x14ac:dyDescent="0.3">
      <c r="A278" s="5" t="s">
        <v>624</v>
      </c>
      <c r="B278" s="8">
        <v>5</v>
      </c>
      <c r="C278" s="9">
        <f t="shared" si="4"/>
        <v>0.69897000433601886</v>
      </c>
      <c r="D278" s="5" t="s">
        <v>1361</v>
      </c>
      <c r="E278" s="5" t="s">
        <v>1250</v>
      </c>
      <c r="F278" s="5" t="s">
        <v>1397</v>
      </c>
      <c r="G278" s="5" t="s">
        <v>1251</v>
      </c>
      <c r="I278" s="5" t="s">
        <v>1386</v>
      </c>
    </row>
    <row r="279" spans="1:9" x14ac:dyDescent="0.3">
      <c r="A279" s="5" t="s">
        <v>627</v>
      </c>
      <c r="B279" s="8">
        <v>16</v>
      </c>
      <c r="C279" s="9">
        <f t="shared" si="4"/>
        <v>1.2041199826559248</v>
      </c>
      <c r="D279" s="5" t="s">
        <v>1361</v>
      </c>
      <c r="E279" s="5" t="s">
        <v>1250</v>
      </c>
      <c r="F279" s="5" t="s">
        <v>1397</v>
      </c>
      <c r="G279" s="5" t="s">
        <v>1251</v>
      </c>
      <c r="I279" s="5" t="s">
        <v>1386</v>
      </c>
    </row>
    <row r="280" spans="1:9" x14ac:dyDescent="0.3">
      <c r="A280" s="5" t="s">
        <v>630</v>
      </c>
      <c r="B280" s="8">
        <v>5</v>
      </c>
      <c r="C280" s="9">
        <f t="shared" si="4"/>
        <v>0.69897000433601886</v>
      </c>
      <c r="D280" s="5" t="s">
        <v>1361</v>
      </c>
      <c r="E280" s="5" t="s">
        <v>1250</v>
      </c>
      <c r="F280" s="5" t="s">
        <v>1397</v>
      </c>
      <c r="G280" s="5" t="s">
        <v>1251</v>
      </c>
      <c r="I280" s="5" t="s">
        <v>1386</v>
      </c>
    </row>
    <row r="281" spans="1:9" x14ac:dyDescent="0.3">
      <c r="A281" s="5" t="s">
        <v>633</v>
      </c>
      <c r="B281" s="8">
        <v>200</v>
      </c>
      <c r="C281" s="9">
        <f t="shared" si="4"/>
        <v>2.3010299956639813</v>
      </c>
      <c r="D281" s="5" t="s">
        <v>1361</v>
      </c>
      <c r="E281" s="5" t="s">
        <v>1316</v>
      </c>
      <c r="F281" s="5" t="s">
        <v>1396</v>
      </c>
      <c r="G281" s="5" t="s">
        <v>1317</v>
      </c>
      <c r="I281" s="5" t="s">
        <v>1386</v>
      </c>
    </row>
    <row r="282" spans="1:9" x14ac:dyDescent="0.3">
      <c r="A282" s="5" t="s">
        <v>636</v>
      </c>
      <c r="B282" s="8">
        <v>14</v>
      </c>
      <c r="C282" s="9">
        <f t="shared" si="4"/>
        <v>1.146128035678238</v>
      </c>
      <c r="D282" s="5" t="s">
        <v>1361</v>
      </c>
      <c r="E282" s="5" t="s">
        <v>1250</v>
      </c>
      <c r="F282" s="5" t="s">
        <v>1397</v>
      </c>
      <c r="G282" s="5" t="s">
        <v>1251</v>
      </c>
      <c r="I282" s="5" t="s">
        <v>1386</v>
      </c>
    </row>
    <row r="283" spans="1:9" x14ac:dyDescent="0.3">
      <c r="A283" s="5" t="s">
        <v>639</v>
      </c>
      <c r="B283" s="8">
        <v>5</v>
      </c>
      <c r="C283" s="9">
        <f t="shared" si="4"/>
        <v>0.69897000433601886</v>
      </c>
      <c r="D283" s="5" t="s">
        <v>1361</v>
      </c>
      <c r="E283" s="5" t="s">
        <v>1250</v>
      </c>
      <c r="F283" s="5" t="s">
        <v>1397</v>
      </c>
      <c r="G283" s="5" t="s">
        <v>1251</v>
      </c>
      <c r="I283" s="5" t="s">
        <v>1386</v>
      </c>
    </row>
    <row r="284" spans="1:9" x14ac:dyDescent="0.3">
      <c r="A284" s="5" t="s">
        <v>642</v>
      </c>
      <c r="B284" s="8">
        <v>3500</v>
      </c>
      <c r="C284" s="9">
        <f t="shared" si="4"/>
        <v>3.5440680443502757</v>
      </c>
      <c r="D284" s="5" t="s">
        <v>1361</v>
      </c>
      <c r="E284" s="5" t="s">
        <v>1250</v>
      </c>
      <c r="F284" s="5" t="s">
        <v>1397</v>
      </c>
      <c r="G284" s="5" t="s">
        <v>1251</v>
      </c>
      <c r="I284" s="5" t="s">
        <v>1386</v>
      </c>
    </row>
    <row r="285" spans="1:9" x14ac:dyDescent="0.3">
      <c r="A285" s="5" t="s">
        <v>645</v>
      </c>
      <c r="B285" s="8">
        <v>40</v>
      </c>
      <c r="C285" s="9">
        <f t="shared" si="4"/>
        <v>1.6020599913279623</v>
      </c>
      <c r="D285" s="5" t="s">
        <v>1361</v>
      </c>
      <c r="E285" s="5" t="s">
        <v>1250</v>
      </c>
      <c r="F285" s="5" t="s">
        <v>1397</v>
      </c>
      <c r="G285" s="5" t="s">
        <v>1251</v>
      </c>
      <c r="I285" s="5" t="s">
        <v>1386</v>
      </c>
    </row>
    <row r="286" spans="1:9" x14ac:dyDescent="0.3">
      <c r="A286" s="5" t="s">
        <v>647</v>
      </c>
      <c r="B286" s="8">
        <v>1500000</v>
      </c>
      <c r="C286" s="9">
        <f t="shared" si="4"/>
        <v>6.1760912590556813</v>
      </c>
      <c r="D286" s="5" t="s">
        <v>1361</v>
      </c>
      <c r="E286" s="5" t="s">
        <v>1250</v>
      </c>
      <c r="F286" s="5" t="s">
        <v>1397</v>
      </c>
      <c r="G286" s="5" t="s">
        <v>1251</v>
      </c>
      <c r="I286" s="5" t="s">
        <v>1386</v>
      </c>
    </row>
    <row r="287" spans="1:9" x14ac:dyDescent="0.3">
      <c r="A287" s="5" t="s">
        <v>650</v>
      </c>
      <c r="B287" s="8">
        <v>1270</v>
      </c>
      <c r="C287" s="9">
        <f t="shared" si="4"/>
        <v>3.1038037209559568</v>
      </c>
      <c r="D287" s="5" t="s">
        <v>1361</v>
      </c>
      <c r="E287" s="5" t="s">
        <v>1250</v>
      </c>
      <c r="F287" s="5" t="s">
        <v>1397</v>
      </c>
      <c r="G287" s="5" t="s">
        <v>1251</v>
      </c>
      <c r="I287" s="5" t="s">
        <v>1386</v>
      </c>
    </row>
    <row r="288" spans="1:9" x14ac:dyDescent="0.3">
      <c r="A288" s="5" t="s">
        <v>652</v>
      </c>
      <c r="B288" s="8">
        <v>18</v>
      </c>
      <c r="C288" s="9">
        <f t="shared" si="4"/>
        <v>1.255272505103306</v>
      </c>
      <c r="D288" s="5" t="s">
        <v>1361</v>
      </c>
      <c r="E288" s="5" t="s">
        <v>1250</v>
      </c>
      <c r="F288" s="5" t="s">
        <v>1397</v>
      </c>
      <c r="G288" s="5" t="s">
        <v>1251</v>
      </c>
      <c r="I288" s="5" t="s">
        <v>1386</v>
      </c>
    </row>
    <row r="289" spans="1:9" x14ac:dyDescent="0.3">
      <c r="A289" s="5" t="s">
        <v>654</v>
      </c>
      <c r="B289" s="8">
        <v>1400</v>
      </c>
      <c r="C289" s="9">
        <f t="shared" si="4"/>
        <v>3.1461280356782382</v>
      </c>
      <c r="D289" s="5" t="s">
        <v>1361</v>
      </c>
      <c r="E289" s="5" t="s">
        <v>1316</v>
      </c>
      <c r="F289" s="5" t="s">
        <v>1396</v>
      </c>
      <c r="G289" s="5" t="s">
        <v>1317</v>
      </c>
      <c r="I289" s="5" t="s">
        <v>1386</v>
      </c>
    </row>
    <row r="290" spans="1:9" x14ac:dyDescent="0.3">
      <c r="A290" s="5" t="s">
        <v>657</v>
      </c>
      <c r="B290" s="8">
        <v>3500</v>
      </c>
      <c r="C290" s="9">
        <f t="shared" si="4"/>
        <v>3.5440680443502757</v>
      </c>
      <c r="D290" s="5" t="s">
        <v>1361</v>
      </c>
      <c r="E290" s="5" t="s">
        <v>1250</v>
      </c>
      <c r="F290" s="5" t="s">
        <v>1397</v>
      </c>
      <c r="G290" s="5" t="s">
        <v>1251</v>
      </c>
      <c r="I290" s="5" t="s">
        <v>1386</v>
      </c>
    </row>
    <row r="291" spans="1:9" x14ac:dyDescent="0.3">
      <c r="A291" s="5" t="s">
        <v>660</v>
      </c>
      <c r="B291" s="8">
        <v>44</v>
      </c>
      <c r="C291" s="9">
        <f t="shared" si="4"/>
        <v>1.6434526764861874</v>
      </c>
      <c r="D291" s="5" t="s">
        <v>1361</v>
      </c>
      <c r="E291" s="5" t="s">
        <v>1250</v>
      </c>
      <c r="F291" s="5" t="s">
        <v>1397</v>
      </c>
      <c r="G291" s="5" t="s">
        <v>1251</v>
      </c>
      <c r="I291" s="5" t="s">
        <v>1386</v>
      </c>
    </row>
    <row r="292" spans="1:9" x14ac:dyDescent="0.3">
      <c r="A292" s="5" t="s">
        <v>662</v>
      </c>
      <c r="B292" s="8">
        <v>3400000</v>
      </c>
      <c r="C292" s="9">
        <f t="shared" si="4"/>
        <v>6.5314789170422554</v>
      </c>
      <c r="D292" s="5" t="s">
        <v>1361</v>
      </c>
      <c r="E292" s="5" t="s">
        <v>1288</v>
      </c>
      <c r="F292" s="5" t="s">
        <v>1397</v>
      </c>
      <c r="G292" s="5" t="s">
        <v>1318</v>
      </c>
      <c r="I292" s="5" t="s">
        <v>1386</v>
      </c>
    </row>
    <row r="293" spans="1:9" x14ac:dyDescent="0.3">
      <c r="A293" s="5" t="s">
        <v>665</v>
      </c>
      <c r="B293" s="8">
        <v>18000</v>
      </c>
      <c r="C293" s="9">
        <f t="shared" si="4"/>
        <v>4.2552725051033065</v>
      </c>
      <c r="D293" s="5" t="s">
        <v>1361</v>
      </c>
      <c r="E293" s="5" t="s">
        <v>1288</v>
      </c>
      <c r="F293" s="5" t="s">
        <v>1397</v>
      </c>
      <c r="G293" s="5" t="s">
        <v>1318</v>
      </c>
      <c r="I293" s="5" t="s">
        <v>1386</v>
      </c>
    </row>
    <row r="294" spans="1:9" x14ac:dyDescent="0.3">
      <c r="A294" s="5" t="s">
        <v>667</v>
      </c>
      <c r="B294" s="8">
        <v>250</v>
      </c>
      <c r="C294" s="9">
        <f t="shared" si="4"/>
        <v>2.3979400086720375</v>
      </c>
      <c r="D294" s="5" t="s">
        <v>1361</v>
      </c>
      <c r="E294" s="5" t="s">
        <v>1288</v>
      </c>
      <c r="F294" s="5" t="s">
        <v>1397</v>
      </c>
      <c r="G294" s="5" t="s">
        <v>1318</v>
      </c>
      <c r="I294" s="5" t="s">
        <v>1386</v>
      </c>
    </row>
    <row r="295" spans="1:9" x14ac:dyDescent="0.3">
      <c r="A295" s="5" t="s">
        <v>669</v>
      </c>
      <c r="B295" s="8">
        <v>19000</v>
      </c>
      <c r="C295" s="9">
        <f t="shared" si="4"/>
        <v>4.2787536009528289</v>
      </c>
      <c r="D295" s="5" t="s">
        <v>1361</v>
      </c>
      <c r="E295" s="5" t="s">
        <v>1250</v>
      </c>
      <c r="F295" s="5" t="s">
        <v>1397</v>
      </c>
      <c r="G295" s="5" t="s">
        <v>1251</v>
      </c>
      <c r="I295" s="5" t="s">
        <v>1386</v>
      </c>
    </row>
    <row r="296" spans="1:9" x14ac:dyDescent="0.3">
      <c r="A296" s="5" t="s">
        <v>672</v>
      </c>
      <c r="B296" s="8">
        <v>50000</v>
      </c>
      <c r="C296" s="9">
        <f t="shared" si="4"/>
        <v>4.6989700043360187</v>
      </c>
      <c r="D296" s="5" t="s">
        <v>1361</v>
      </c>
      <c r="E296" s="5" t="s">
        <v>1316</v>
      </c>
      <c r="F296" s="5" t="s">
        <v>1396</v>
      </c>
      <c r="G296" s="5" t="s">
        <v>1317</v>
      </c>
      <c r="I296" s="5" t="s">
        <v>1386</v>
      </c>
    </row>
    <row r="297" spans="1:9" x14ac:dyDescent="0.3">
      <c r="A297" s="5" t="s">
        <v>675</v>
      </c>
      <c r="B297" s="8">
        <v>4000000</v>
      </c>
      <c r="C297" s="9">
        <f t="shared" si="4"/>
        <v>6.6020599913279625</v>
      </c>
      <c r="D297" s="5" t="s">
        <v>1361</v>
      </c>
      <c r="E297" s="5" t="s">
        <v>1250</v>
      </c>
      <c r="F297" s="5" t="s">
        <v>1397</v>
      </c>
      <c r="G297" s="5" t="s">
        <v>1251</v>
      </c>
      <c r="I297" s="5" t="s">
        <v>1386</v>
      </c>
    </row>
    <row r="298" spans="1:9" x14ac:dyDescent="0.3">
      <c r="A298" s="5" t="s">
        <v>678</v>
      </c>
      <c r="B298" s="8">
        <v>16000</v>
      </c>
      <c r="C298" s="9">
        <f t="shared" si="4"/>
        <v>4.204119982655925</v>
      </c>
      <c r="D298" s="5" t="s">
        <v>1361</v>
      </c>
      <c r="E298" s="5" t="s">
        <v>1250</v>
      </c>
      <c r="F298" s="5" t="s">
        <v>1397</v>
      </c>
      <c r="G298" s="5" t="s">
        <v>1251</v>
      </c>
      <c r="I298" s="5" t="s">
        <v>1386</v>
      </c>
    </row>
    <row r="299" spans="1:9" x14ac:dyDescent="0.3">
      <c r="A299" s="5" t="s">
        <v>680</v>
      </c>
      <c r="B299" s="8">
        <v>300</v>
      </c>
      <c r="C299" s="9">
        <f t="shared" si="4"/>
        <v>2.4771212547196626</v>
      </c>
      <c r="D299" s="5" t="s">
        <v>1361</v>
      </c>
      <c r="E299" s="5" t="s">
        <v>1250</v>
      </c>
      <c r="F299" s="5" t="s">
        <v>1397</v>
      </c>
      <c r="G299" s="5" t="s">
        <v>1251</v>
      </c>
      <c r="I299" s="5" t="s">
        <v>1386</v>
      </c>
    </row>
    <row r="300" spans="1:9" x14ac:dyDescent="0.3">
      <c r="A300" s="5" t="s">
        <v>682</v>
      </c>
      <c r="B300" s="8">
        <v>16000</v>
      </c>
      <c r="C300" s="9">
        <f t="shared" si="4"/>
        <v>4.204119982655925</v>
      </c>
      <c r="D300" s="5" t="s">
        <v>1361</v>
      </c>
      <c r="E300" s="5" t="s">
        <v>1316</v>
      </c>
      <c r="F300" s="5" t="s">
        <v>1396</v>
      </c>
      <c r="G300" s="5" t="s">
        <v>1317</v>
      </c>
      <c r="I300" s="5" t="s">
        <v>1386</v>
      </c>
    </row>
    <row r="301" spans="1:9" x14ac:dyDescent="0.3">
      <c r="A301" s="5" t="s">
        <v>685</v>
      </c>
      <c r="B301" s="8">
        <v>3000000</v>
      </c>
      <c r="C301" s="9">
        <f t="shared" si="4"/>
        <v>6.4771212547196626</v>
      </c>
      <c r="D301" s="5" t="s">
        <v>1361</v>
      </c>
      <c r="E301" s="5" t="s">
        <v>1250</v>
      </c>
      <c r="F301" s="5" t="s">
        <v>1397</v>
      </c>
      <c r="G301" s="5" t="s">
        <v>1251</v>
      </c>
      <c r="I301" s="5" t="s">
        <v>1386</v>
      </c>
    </row>
    <row r="302" spans="1:9" x14ac:dyDescent="0.3">
      <c r="A302" s="5" t="s">
        <v>688</v>
      </c>
      <c r="B302" s="8">
        <v>32500</v>
      </c>
      <c r="C302" s="9">
        <f t="shared" si="4"/>
        <v>4.5118833609788744</v>
      </c>
      <c r="D302" s="5" t="s">
        <v>1361</v>
      </c>
      <c r="E302" s="5" t="s">
        <v>1250</v>
      </c>
      <c r="F302" s="5" t="s">
        <v>1397</v>
      </c>
      <c r="G302" s="5" t="s">
        <v>1251</v>
      </c>
      <c r="I302" s="5" t="s">
        <v>1386</v>
      </c>
    </row>
    <row r="303" spans="1:9" x14ac:dyDescent="0.3">
      <c r="A303" s="5" t="s">
        <v>690</v>
      </c>
      <c r="B303" s="8">
        <v>30000</v>
      </c>
      <c r="C303" s="9">
        <f t="shared" si="4"/>
        <v>4.4771212547196626</v>
      </c>
      <c r="D303" s="5" t="s">
        <v>1361</v>
      </c>
      <c r="E303" s="5" t="s">
        <v>1250</v>
      </c>
      <c r="F303" s="5" t="s">
        <v>1397</v>
      </c>
      <c r="G303" s="5" t="s">
        <v>1251</v>
      </c>
      <c r="I303" s="5" t="s">
        <v>1386</v>
      </c>
    </row>
    <row r="304" spans="1:9" x14ac:dyDescent="0.3">
      <c r="A304" s="5" t="s">
        <v>693</v>
      </c>
      <c r="B304" s="8">
        <v>1300000</v>
      </c>
      <c r="C304" s="9">
        <f t="shared" si="4"/>
        <v>6.1139433523068369</v>
      </c>
      <c r="D304" s="5" t="s">
        <v>1361</v>
      </c>
      <c r="E304" s="5" t="s">
        <v>1250</v>
      </c>
      <c r="F304" s="5" t="s">
        <v>1397</v>
      </c>
      <c r="G304" s="5" t="s">
        <v>1251</v>
      </c>
      <c r="I304" s="5" t="s">
        <v>1386</v>
      </c>
    </row>
    <row r="305" spans="1:9" x14ac:dyDescent="0.3">
      <c r="A305" s="5" t="s">
        <v>696</v>
      </c>
      <c r="B305" s="8">
        <v>4300</v>
      </c>
      <c r="C305" s="9">
        <f t="shared" si="4"/>
        <v>3.6334684555795866</v>
      </c>
      <c r="D305" s="5" t="s">
        <v>1361</v>
      </c>
      <c r="E305" s="5" t="s">
        <v>1250</v>
      </c>
      <c r="F305" s="5" t="s">
        <v>1397</v>
      </c>
      <c r="G305" s="5" t="s">
        <v>1251</v>
      </c>
      <c r="I305" s="5" t="s">
        <v>1386</v>
      </c>
    </row>
    <row r="306" spans="1:9" x14ac:dyDescent="0.3">
      <c r="A306" s="5" t="s">
        <v>698</v>
      </c>
      <c r="B306" s="8">
        <v>2500000</v>
      </c>
      <c r="C306" s="9">
        <f t="shared" si="4"/>
        <v>6.3979400086720375</v>
      </c>
      <c r="D306" s="5" t="s">
        <v>1361</v>
      </c>
      <c r="E306" s="5" t="s">
        <v>1388</v>
      </c>
      <c r="F306" s="5" t="s">
        <v>1397</v>
      </c>
      <c r="G306" s="5" t="s">
        <v>1273</v>
      </c>
      <c r="I306" s="5" t="s">
        <v>1386</v>
      </c>
    </row>
    <row r="307" spans="1:9" x14ac:dyDescent="0.3">
      <c r="A307" s="5" t="s">
        <v>701</v>
      </c>
      <c r="B307" s="8">
        <v>3700</v>
      </c>
      <c r="C307" s="9">
        <f t="shared" si="4"/>
        <v>3.568201724066995</v>
      </c>
      <c r="D307" s="5" t="s">
        <v>1361</v>
      </c>
      <c r="E307" s="5" t="s">
        <v>1319</v>
      </c>
      <c r="F307" s="5" t="s">
        <v>1397</v>
      </c>
      <c r="G307" s="5" t="s">
        <v>1320</v>
      </c>
      <c r="I307" s="5" t="s">
        <v>1386</v>
      </c>
    </row>
    <row r="308" spans="1:9" x14ac:dyDescent="0.3">
      <c r="A308" s="5" t="s">
        <v>704</v>
      </c>
      <c r="B308" s="8">
        <v>2800</v>
      </c>
      <c r="C308" s="9">
        <f t="shared" si="4"/>
        <v>3.4471580313422194</v>
      </c>
      <c r="D308" s="5" t="s">
        <v>1361</v>
      </c>
      <c r="E308" s="5" t="s">
        <v>1250</v>
      </c>
      <c r="F308" s="5" t="s">
        <v>1397</v>
      </c>
      <c r="G308" s="5" t="s">
        <v>1251</v>
      </c>
      <c r="I308" s="5" t="s">
        <v>1386</v>
      </c>
    </row>
    <row r="309" spans="1:9" x14ac:dyDescent="0.3">
      <c r="A309" s="5" t="s">
        <v>707</v>
      </c>
      <c r="B309" s="8">
        <v>600000</v>
      </c>
      <c r="C309" s="9">
        <f t="shared" si="4"/>
        <v>5.7781512503836439</v>
      </c>
      <c r="D309" s="5" t="s">
        <v>1361</v>
      </c>
      <c r="E309" s="5" t="s">
        <v>1250</v>
      </c>
      <c r="F309" s="5" t="s">
        <v>1397</v>
      </c>
      <c r="G309" s="5" t="s">
        <v>1251</v>
      </c>
      <c r="I309" s="5" t="s">
        <v>1386</v>
      </c>
    </row>
    <row r="310" spans="1:9" x14ac:dyDescent="0.3">
      <c r="A310" s="5" t="s">
        <v>710</v>
      </c>
      <c r="B310" s="8">
        <v>140</v>
      </c>
      <c r="C310" s="9">
        <f t="shared" si="4"/>
        <v>2.1461280356782382</v>
      </c>
      <c r="D310" s="5" t="s">
        <v>1361</v>
      </c>
      <c r="E310" s="5" t="s">
        <v>1250</v>
      </c>
      <c r="F310" s="5" t="s">
        <v>1397</v>
      </c>
      <c r="G310" s="5" t="s">
        <v>1251</v>
      </c>
      <c r="I310" s="5" t="s">
        <v>1386</v>
      </c>
    </row>
    <row r="311" spans="1:9" x14ac:dyDescent="0.3">
      <c r="A311" s="5" t="s">
        <v>712</v>
      </c>
      <c r="B311" s="8">
        <v>5900</v>
      </c>
      <c r="C311" s="9">
        <f t="shared" si="4"/>
        <v>3.7708520116421442</v>
      </c>
      <c r="D311" s="5" t="s">
        <v>1361</v>
      </c>
      <c r="E311" s="5" t="s">
        <v>1250</v>
      </c>
      <c r="F311" s="5" t="s">
        <v>1397</v>
      </c>
      <c r="G311" s="5" t="s">
        <v>1251</v>
      </c>
      <c r="I311" s="5" t="s">
        <v>1386</v>
      </c>
    </row>
    <row r="312" spans="1:9" x14ac:dyDescent="0.3">
      <c r="A312" s="5" t="s">
        <v>715</v>
      </c>
      <c r="B312" s="8">
        <v>650</v>
      </c>
      <c r="C312" s="9">
        <f t="shared" si="4"/>
        <v>2.8129133566428557</v>
      </c>
      <c r="D312" s="5" t="s">
        <v>1361</v>
      </c>
      <c r="E312" s="5" t="s">
        <v>1250</v>
      </c>
      <c r="F312" s="5" t="s">
        <v>1397</v>
      </c>
      <c r="G312" s="5" t="s">
        <v>1251</v>
      </c>
      <c r="I312" s="5" t="s">
        <v>1386</v>
      </c>
    </row>
    <row r="313" spans="1:9" x14ac:dyDescent="0.3">
      <c r="A313" s="5" t="s">
        <v>718</v>
      </c>
      <c r="B313" s="8">
        <v>920000</v>
      </c>
      <c r="C313" s="9">
        <f t="shared" si="4"/>
        <v>5.9637878273455556</v>
      </c>
      <c r="D313" s="5" t="s">
        <v>1361</v>
      </c>
      <c r="E313" s="5" t="s">
        <v>1250</v>
      </c>
      <c r="F313" s="5" t="s">
        <v>1397</v>
      </c>
      <c r="G313" s="5" t="s">
        <v>1251</v>
      </c>
      <c r="I313" s="5" t="s">
        <v>1386</v>
      </c>
    </row>
    <row r="314" spans="1:9" x14ac:dyDescent="0.3">
      <c r="A314" s="5" t="s">
        <v>720</v>
      </c>
      <c r="B314" s="8">
        <v>90000000</v>
      </c>
      <c r="C314" s="9">
        <f t="shared" si="4"/>
        <v>7.9542425094393252</v>
      </c>
      <c r="D314" s="5" t="s">
        <v>1361</v>
      </c>
      <c r="E314" s="5" t="s">
        <v>1388</v>
      </c>
      <c r="F314" s="5" t="s">
        <v>1397</v>
      </c>
      <c r="G314" s="5" t="s">
        <v>1321</v>
      </c>
      <c r="I314" s="5" t="s">
        <v>1386</v>
      </c>
    </row>
    <row r="315" spans="1:9" x14ac:dyDescent="0.3">
      <c r="A315" s="5" t="s">
        <v>723</v>
      </c>
      <c r="B315" s="8">
        <v>7800000</v>
      </c>
      <c r="C315" s="9">
        <f t="shared" si="4"/>
        <v>6.8920946026904808</v>
      </c>
      <c r="D315" s="5" t="s">
        <v>1361</v>
      </c>
      <c r="E315" s="5" t="s">
        <v>1388</v>
      </c>
      <c r="F315" s="5" t="s">
        <v>1397</v>
      </c>
      <c r="G315" s="5" t="s">
        <v>1321</v>
      </c>
      <c r="I315" s="5" t="s">
        <v>1386</v>
      </c>
    </row>
    <row r="316" spans="1:9" x14ac:dyDescent="0.3">
      <c r="A316" s="5" t="s">
        <v>726</v>
      </c>
      <c r="B316" s="8">
        <v>10000000</v>
      </c>
      <c r="C316" s="9">
        <f t="shared" si="4"/>
        <v>7</v>
      </c>
      <c r="D316" s="5" t="s">
        <v>1361</v>
      </c>
      <c r="E316" s="5" t="s">
        <v>1388</v>
      </c>
      <c r="F316" s="5" t="s">
        <v>1397</v>
      </c>
      <c r="G316" s="5" t="s">
        <v>1321</v>
      </c>
      <c r="I316" s="5" t="s">
        <v>1386</v>
      </c>
    </row>
    <row r="317" spans="1:9" x14ac:dyDescent="0.3">
      <c r="A317" s="5" t="s">
        <v>729</v>
      </c>
      <c r="B317" s="8">
        <v>680000</v>
      </c>
      <c r="C317" s="9">
        <f t="shared" si="4"/>
        <v>5.8325089127062366</v>
      </c>
      <c r="D317" s="5" t="s">
        <v>1361</v>
      </c>
      <c r="E317" s="5" t="s">
        <v>1388</v>
      </c>
      <c r="F317" s="5" t="s">
        <v>1397</v>
      </c>
      <c r="G317" s="5" t="s">
        <v>1322</v>
      </c>
      <c r="H317" s="10">
        <v>0.11843408361372808</v>
      </c>
      <c r="I317" s="5" t="s">
        <v>1386</v>
      </c>
    </row>
    <row r="318" spans="1:9" x14ac:dyDescent="0.3">
      <c r="A318" s="5" t="s">
        <v>729</v>
      </c>
      <c r="B318" s="8">
        <v>1000000</v>
      </c>
      <c r="C318" s="9">
        <f t="shared" si="4"/>
        <v>6</v>
      </c>
      <c r="D318" s="5" t="s">
        <v>1361</v>
      </c>
      <c r="E318" s="5">
        <v>20</v>
      </c>
      <c r="F318" s="5" t="s">
        <v>1397</v>
      </c>
      <c r="G318" s="5" t="s">
        <v>1286</v>
      </c>
      <c r="H318" s="10">
        <v>0.11843408361372808</v>
      </c>
      <c r="I318" s="5" t="s">
        <v>1386</v>
      </c>
    </row>
    <row r="319" spans="1:9" x14ac:dyDescent="0.3">
      <c r="A319" s="5" t="s">
        <v>732</v>
      </c>
      <c r="B319" s="8">
        <v>7300000</v>
      </c>
      <c r="C319" s="9">
        <f t="shared" si="4"/>
        <v>6.8633228601204559</v>
      </c>
      <c r="D319" s="5" t="s">
        <v>1361</v>
      </c>
      <c r="E319" s="5" t="s">
        <v>1388</v>
      </c>
      <c r="F319" s="5" t="s">
        <v>1397</v>
      </c>
      <c r="G319" s="5" t="s">
        <v>1321</v>
      </c>
      <c r="I319" s="5" t="s">
        <v>1386</v>
      </c>
    </row>
    <row r="320" spans="1:9" x14ac:dyDescent="0.3">
      <c r="A320" s="5" t="s">
        <v>735</v>
      </c>
      <c r="B320" s="8">
        <v>8100000</v>
      </c>
      <c r="C320" s="9">
        <f t="shared" si="4"/>
        <v>6.9084850188786495</v>
      </c>
      <c r="D320" s="5" t="s">
        <v>1361</v>
      </c>
      <c r="E320" s="5" t="s">
        <v>1388</v>
      </c>
      <c r="F320" s="5" t="s">
        <v>1397</v>
      </c>
      <c r="G320" s="5" t="s">
        <v>1321</v>
      </c>
      <c r="I320" s="5" t="s">
        <v>1386</v>
      </c>
    </row>
    <row r="321" spans="1:9" x14ac:dyDescent="0.3">
      <c r="A321" s="5" t="s">
        <v>738</v>
      </c>
      <c r="B321" s="8">
        <v>12000000</v>
      </c>
      <c r="C321" s="9">
        <f t="shared" si="4"/>
        <v>7.0791812460476251</v>
      </c>
      <c r="D321" s="5" t="s">
        <v>1361</v>
      </c>
      <c r="E321" s="5" t="s">
        <v>1388</v>
      </c>
      <c r="F321" s="5" t="s">
        <v>1397</v>
      </c>
      <c r="G321" s="5" t="s">
        <v>1321</v>
      </c>
      <c r="I321" s="5" t="s">
        <v>1386</v>
      </c>
    </row>
    <row r="322" spans="1:9" x14ac:dyDescent="0.3">
      <c r="A322" s="5" t="s">
        <v>741</v>
      </c>
      <c r="B322" s="8">
        <v>7400000</v>
      </c>
      <c r="C322" s="9">
        <f t="shared" si="4"/>
        <v>6.8692317197309762</v>
      </c>
      <c r="D322" s="5" t="s">
        <v>1361</v>
      </c>
      <c r="E322" s="5" t="s">
        <v>1388</v>
      </c>
      <c r="F322" s="5" t="s">
        <v>1397</v>
      </c>
      <c r="G322" s="5" t="s">
        <v>1321</v>
      </c>
      <c r="I322" s="5" t="s">
        <v>1386</v>
      </c>
    </row>
    <row r="323" spans="1:9" x14ac:dyDescent="0.3">
      <c r="A323" s="5" t="s">
        <v>744</v>
      </c>
      <c r="B323" s="8">
        <v>9200000</v>
      </c>
      <c r="C323" s="9">
        <f t="shared" ref="C323:C386" si="5">LOG10(B323)</f>
        <v>6.9637878273455556</v>
      </c>
      <c r="D323" s="5" t="s">
        <v>1361</v>
      </c>
      <c r="E323" s="5" t="s">
        <v>1388</v>
      </c>
      <c r="F323" s="5" t="s">
        <v>1397</v>
      </c>
      <c r="G323" s="5" t="s">
        <v>1321</v>
      </c>
      <c r="I323" s="5" t="s">
        <v>1386</v>
      </c>
    </row>
    <row r="324" spans="1:9" x14ac:dyDescent="0.3">
      <c r="A324" s="5" t="s">
        <v>747</v>
      </c>
      <c r="B324" s="8">
        <v>17000000</v>
      </c>
      <c r="C324" s="9">
        <f t="shared" si="5"/>
        <v>7.2304489213782741</v>
      </c>
      <c r="D324" s="5" t="s">
        <v>1361</v>
      </c>
      <c r="E324" s="5" t="s">
        <v>1388</v>
      </c>
      <c r="F324" s="5" t="s">
        <v>1397</v>
      </c>
      <c r="G324" s="5" t="s">
        <v>1321</v>
      </c>
      <c r="I324" s="5" t="s">
        <v>1386</v>
      </c>
    </row>
    <row r="325" spans="1:9" x14ac:dyDescent="0.3">
      <c r="A325" s="5" t="s">
        <v>750</v>
      </c>
      <c r="B325" s="8">
        <v>19000000</v>
      </c>
      <c r="C325" s="9">
        <f t="shared" si="5"/>
        <v>7.2787536009528289</v>
      </c>
      <c r="D325" s="5" t="s">
        <v>1361</v>
      </c>
      <c r="E325" s="5" t="s">
        <v>1388</v>
      </c>
      <c r="F325" s="5" t="s">
        <v>1397</v>
      </c>
      <c r="G325" s="5" t="s">
        <v>1321</v>
      </c>
      <c r="I325" s="5" t="s">
        <v>1386</v>
      </c>
    </row>
    <row r="326" spans="1:9" x14ac:dyDescent="0.3">
      <c r="A326" s="5" t="s">
        <v>753</v>
      </c>
      <c r="B326" s="8">
        <v>47000</v>
      </c>
      <c r="C326" s="9">
        <f t="shared" si="5"/>
        <v>4.6720978579357171</v>
      </c>
      <c r="D326" s="5" t="s">
        <v>1361</v>
      </c>
      <c r="E326" s="5" t="s">
        <v>1388</v>
      </c>
      <c r="F326" s="5" t="s">
        <v>1397</v>
      </c>
      <c r="G326" s="5" t="s">
        <v>1321</v>
      </c>
      <c r="I326" s="5" t="s">
        <v>1386</v>
      </c>
    </row>
    <row r="327" spans="1:9" x14ac:dyDescent="0.3">
      <c r="A327" s="5" t="s">
        <v>755</v>
      </c>
      <c r="B327" s="8">
        <v>2400000</v>
      </c>
      <c r="C327" s="9">
        <f t="shared" si="5"/>
        <v>6.3802112417116064</v>
      </c>
      <c r="D327" s="5" t="s">
        <v>1361</v>
      </c>
      <c r="E327" s="5" t="s">
        <v>1388</v>
      </c>
      <c r="F327" s="5" t="s">
        <v>1397</v>
      </c>
      <c r="G327" s="5" t="s">
        <v>1321</v>
      </c>
      <c r="I327" s="5" t="s">
        <v>1386</v>
      </c>
    </row>
    <row r="328" spans="1:9" x14ac:dyDescent="0.3">
      <c r="A328" s="5" t="s">
        <v>758</v>
      </c>
      <c r="B328" s="8">
        <v>140000</v>
      </c>
      <c r="C328" s="9">
        <f t="shared" si="5"/>
        <v>5.1461280356782382</v>
      </c>
      <c r="D328" s="5" t="s">
        <v>1361</v>
      </c>
      <c r="E328" s="5" t="s">
        <v>1388</v>
      </c>
      <c r="F328" s="5" t="s">
        <v>1397</v>
      </c>
      <c r="G328" s="5" t="s">
        <v>1321</v>
      </c>
      <c r="I328" s="5" t="s">
        <v>1386</v>
      </c>
    </row>
    <row r="329" spans="1:9" x14ac:dyDescent="0.3">
      <c r="A329" s="5" t="s">
        <v>761</v>
      </c>
      <c r="B329" s="8">
        <v>570000</v>
      </c>
      <c r="C329" s="9">
        <f t="shared" si="5"/>
        <v>5.7558748556724915</v>
      </c>
      <c r="D329" s="5" t="s">
        <v>1361</v>
      </c>
      <c r="E329" s="5" t="s">
        <v>1308</v>
      </c>
      <c r="F329" s="5" t="s">
        <v>1397</v>
      </c>
      <c r="G329" s="5" t="s">
        <v>1279</v>
      </c>
      <c r="I329" s="5" t="s">
        <v>1386</v>
      </c>
    </row>
    <row r="330" spans="1:9" x14ac:dyDescent="0.3">
      <c r="A330" s="5" t="s">
        <v>764</v>
      </c>
      <c r="B330" s="8">
        <v>47000</v>
      </c>
      <c r="C330" s="9">
        <f t="shared" si="5"/>
        <v>4.6720978579357171</v>
      </c>
      <c r="D330" s="5" t="s">
        <v>1361</v>
      </c>
      <c r="E330" s="5" t="s">
        <v>1308</v>
      </c>
      <c r="F330" s="5" t="s">
        <v>1397</v>
      </c>
      <c r="G330" s="5" t="s">
        <v>1279</v>
      </c>
      <c r="I330" s="5" t="s">
        <v>1386</v>
      </c>
    </row>
    <row r="331" spans="1:9" x14ac:dyDescent="0.3">
      <c r="A331" s="5" t="s">
        <v>766</v>
      </c>
      <c r="B331" s="8">
        <v>260</v>
      </c>
      <c r="C331" s="9">
        <f t="shared" si="5"/>
        <v>2.4149733479708178</v>
      </c>
      <c r="D331" s="5" t="s">
        <v>1361</v>
      </c>
      <c r="E331" s="5" t="s">
        <v>1308</v>
      </c>
      <c r="F331" s="5" t="s">
        <v>1396</v>
      </c>
      <c r="G331" s="5" t="s">
        <v>1279</v>
      </c>
      <c r="I331" s="5" t="s">
        <v>1386</v>
      </c>
    </row>
    <row r="332" spans="1:9" x14ac:dyDescent="0.3">
      <c r="A332" s="5" t="s">
        <v>769</v>
      </c>
      <c r="B332" s="8">
        <v>20</v>
      </c>
      <c r="C332" s="9">
        <f t="shared" si="5"/>
        <v>1.3010299956639813</v>
      </c>
      <c r="D332" s="5" t="s">
        <v>1361</v>
      </c>
      <c r="E332" s="5" t="s">
        <v>1308</v>
      </c>
      <c r="F332" s="5" t="s">
        <v>1396</v>
      </c>
      <c r="G332" s="5" t="s">
        <v>1279</v>
      </c>
      <c r="I332" s="5" t="s">
        <v>1386</v>
      </c>
    </row>
    <row r="333" spans="1:9" x14ac:dyDescent="0.3">
      <c r="A333" s="5" t="s">
        <v>771</v>
      </c>
      <c r="B333" s="8">
        <v>54</v>
      </c>
      <c r="C333" s="9">
        <f t="shared" si="5"/>
        <v>1.7323937598229686</v>
      </c>
      <c r="D333" s="5" t="s">
        <v>1361</v>
      </c>
      <c r="E333" s="5" t="s">
        <v>1308</v>
      </c>
      <c r="F333" s="5" t="s">
        <v>1396</v>
      </c>
      <c r="G333" s="5" t="s">
        <v>1279</v>
      </c>
      <c r="I333" s="5" t="s">
        <v>1386</v>
      </c>
    </row>
    <row r="334" spans="1:9" x14ac:dyDescent="0.3">
      <c r="A334" s="5" t="s">
        <v>774</v>
      </c>
      <c r="B334" s="8">
        <v>220</v>
      </c>
      <c r="C334" s="9">
        <f t="shared" si="5"/>
        <v>2.3424226808222062</v>
      </c>
      <c r="D334" s="5" t="s">
        <v>1361</v>
      </c>
      <c r="E334" s="5">
        <v>22</v>
      </c>
      <c r="F334" s="5" t="s">
        <v>1396</v>
      </c>
      <c r="G334" s="5" t="s">
        <v>1242</v>
      </c>
      <c r="I334" s="5" t="s">
        <v>1386</v>
      </c>
    </row>
    <row r="335" spans="1:9" x14ac:dyDescent="0.3">
      <c r="A335" s="5" t="s">
        <v>777</v>
      </c>
      <c r="B335" s="8">
        <v>170000</v>
      </c>
      <c r="C335" s="9">
        <f t="shared" si="5"/>
        <v>5.2304489213782741</v>
      </c>
      <c r="D335" s="5" t="s">
        <v>1361</v>
      </c>
      <c r="E335" s="5" t="s">
        <v>1376</v>
      </c>
      <c r="F335" s="5" t="s">
        <v>1396</v>
      </c>
      <c r="G335" s="5" t="s">
        <v>1304</v>
      </c>
      <c r="I335" s="5" t="s">
        <v>1386</v>
      </c>
    </row>
    <row r="336" spans="1:9" x14ac:dyDescent="0.3">
      <c r="A336" s="5" t="s">
        <v>779</v>
      </c>
      <c r="B336" s="8">
        <v>150</v>
      </c>
      <c r="C336" s="9">
        <f t="shared" si="5"/>
        <v>2.1760912590556813</v>
      </c>
      <c r="D336" s="5" t="s">
        <v>1361</v>
      </c>
      <c r="E336" s="5" t="s">
        <v>1267</v>
      </c>
      <c r="F336" s="5" t="s">
        <v>1396</v>
      </c>
      <c r="G336" s="5" t="s">
        <v>1258</v>
      </c>
      <c r="I336" s="5" t="s">
        <v>1386</v>
      </c>
    </row>
    <row r="337" spans="1:9" x14ac:dyDescent="0.3">
      <c r="A337" s="5" t="s">
        <v>782</v>
      </c>
      <c r="B337" s="8">
        <v>3</v>
      </c>
      <c r="C337" s="9">
        <f t="shared" si="5"/>
        <v>0.47712125471966244</v>
      </c>
      <c r="D337" s="5" t="s">
        <v>1361</v>
      </c>
      <c r="E337" s="5" t="s">
        <v>1314</v>
      </c>
      <c r="F337" s="5" t="s">
        <v>1396</v>
      </c>
      <c r="G337" s="5" t="s">
        <v>1263</v>
      </c>
      <c r="I337" s="5" t="s">
        <v>1386</v>
      </c>
    </row>
    <row r="338" spans="1:9" x14ac:dyDescent="0.3">
      <c r="A338" s="5" t="s">
        <v>785</v>
      </c>
      <c r="B338" s="8">
        <v>0.01</v>
      </c>
      <c r="C338" s="9">
        <f t="shared" si="5"/>
        <v>-2</v>
      </c>
      <c r="D338" s="5" t="s">
        <v>1361</v>
      </c>
      <c r="E338" s="5" t="s">
        <v>1314</v>
      </c>
      <c r="F338" s="5" t="s">
        <v>1396</v>
      </c>
      <c r="G338" s="5" t="s">
        <v>1263</v>
      </c>
      <c r="I338" s="5" t="s">
        <v>1386</v>
      </c>
    </row>
    <row r="339" spans="1:9" x14ac:dyDescent="0.3">
      <c r="A339" s="5" t="s">
        <v>787</v>
      </c>
      <c r="B339" s="8">
        <v>6</v>
      </c>
      <c r="C339" s="9">
        <f t="shared" si="5"/>
        <v>0.77815125038364363</v>
      </c>
      <c r="D339" s="5" t="s">
        <v>1361</v>
      </c>
      <c r="E339" s="5">
        <v>20</v>
      </c>
      <c r="F339" s="5" t="s">
        <v>1396</v>
      </c>
      <c r="G339" s="5" t="s">
        <v>1323</v>
      </c>
      <c r="I339" s="5" t="s">
        <v>1386</v>
      </c>
    </row>
    <row r="340" spans="1:9" x14ac:dyDescent="0.3">
      <c r="A340" s="5" t="s">
        <v>790</v>
      </c>
      <c r="B340" s="8">
        <v>0.18</v>
      </c>
      <c r="C340" s="9">
        <f t="shared" si="5"/>
        <v>-0.74472749489669399</v>
      </c>
      <c r="D340" s="5" t="s">
        <v>1361</v>
      </c>
      <c r="E340" s="5">
        <v>20</v>
      </c>
      <c r="F340" s="5" t="s">
        <v>1396</v>
      </c>
      <c r="G340" s="5" t="s">
        <v>1323</v>
      </c>
      <c r="I340" s="5" t="s">
        <v>1386</v>
      </c>
    </row>
    <row r="341" spans="1:9" x14ac:dyDescent="0.3">
      <c r="A341" s="5" t="s">
        <v>793</v>
      </c>
      <c r="B341" s="8">
        <v>0.1</v>
      </c>
      <c r="C341" s="9">
        <f t="shared" si="5"/>
        <v>-1</v>
      </c>
      <c r="D341" s="5" t="s">
        <v>1361</v>
      </c>
      <c r="E341" s="5">
        <v>20</v>
      </c>
      <c r="F341" s="5" t="s">
        <v>1396</v>
      </c>
      <c r="G341" s="5" t="s">
        <v>1323</v>
      </c>
      <c r="I341" s="5" t="s">
        <v>1386</v>
      </c>
    </row>
    <row r="342" spans="1:9" x14ac:dyDescent="0.3">
      <c r="A342" s="5" t="s">
        <v>796</v>
      </c>
      <c r="B342" s="8">
        <v>3.1</v>
      </c>
      <c r="C342" s="9">
        <f t="shared" si="5"/>
        <v>0.49136169383427269</v>
      </c>
      <c r="D342" s="5" t="s">
        <v>1361</v>
      </c>
      <c r="E342" s="5">
        <v>20</v>
      </c>
      <c r="F342" s="5" t="s">
        <v>1396</v>
      </c>
      <c r="G342" s="5" t="s">
        <v>1323</v>
      </c>
      <c r="I342" s="5" t="s">
        <v>1386</v>
      </c>
    </row>
    <row r="343" spans="1:9" x14ac:dyDescent="0.3">
      <c r="A343" s="5" t="s">
        <v>799</v>
      </c>
      <c r="B343" s="8">
        <v>4.8</v>
      </c>
      <c r="C343" s="9">
        <f t="shared" si="5"/>
        <v>0.68124123737558717</v>
      </c>
      <c r="D343" s="5" t="s">
        <v>1361</v>
      </c>
      <c r="E343" s="5">
        <v>23</v>
      </c>
      <c r="F343" s="5" t="s">
        <v>1396</v>
      </c>
      <c r="G343" s="5" t="s">
        <v>1242</v>
      </c>
      <c r="I343" s="5" t="s">
        <v>1386</v>
      </c>
    </row>
    <row r="344" spans="1:9" x14ac:dyDescent="0.3">
      <c r="A344" s="5" t="s">
        <v>802</v>
      </c>
      <c r="B344" s="8">
        <v>35.5</v>
      </c>
      <c r="C344" s="9">
        <f t="shared" si="5"/>
        <v>1.550228353055094</v>
      </c>
      <c r="D344" s="5" t="s">
        <v>1361</v>
      </c>
      <c r="E344" s="5" t="s">
        <v>1388</v>
      </c>
      <c r="F344" s="5" t="s">
        <v>1388</v>
      </c>
      <c r="G344" s="5" t="s">
        <v>1300</v>
      </c>
      <c r="I344" s="5" t="s">
        <v>1386</v>
      </c>
    </row>
    <row r="345" spans="1:9" x14ac:dyDescent="0.3">
      <c r="A345" s="5" t="s">
        <v>805</v>
      </c>
      <c r="B345" s="8">
        <v>2650</v>
      </c>
      <c r="C345" s="9">
        <f t="shared" si="5"/>
        <v>3.4232458739368079</v>
      </c>
      <c r="D345" s="5" t="s">
        <v>1361</v>
      </c>
      <c r="E345" s="5" t="s">
        <v>1388</v>
      </c>
      <c r="F345" s="5" t="s">
        <v>1388</v>
      </c>
      <c r="G345" s="5" t="s">
        <v>1300</v>
      </c>
      <c r="I345" s="5" t="s">
        <v>1386</v>
      </c>
    </row>
    <row r="346" spans="1:9" x14ac:dyDescent="0.3">
      <c r="A346" s="5" t="s">
        <v>807</v>
      </c>
      <c r="B346" s="8">
        <v>13</v>
      </c>
      <c r="C346" s="9">
        <f t="shared" si="5"/>
        <v>1.1139433523068367</v>
      </c>
      <c r="D346" s="5" t="s">
        <v>1361</v>
      </c>
      <c r="E346" s="5" t="s">
        <v>1388</v>
      </c>
      <c r="F346" s="5" t="s">
        <v>1388</v>
      </c>
      <c r="G346" s="5" t="s">
        <v>1300</v>
      </c>
      <c r="I346" s="5" t="s">
        <v>1386</v>
      </c>
    </row>
    <row r="347" spans="1:9" x14ac:dyDescent="0.3">
      <c r="A347" s="5" t="s">
        <v>810</v>
      </c>
      <c r="B347" s="8">
        <v>630</v>
      </c>
      <c r="C347" s="9">
        <f t="shared" si="5"/>
        <v>2.7993405494535817</v>
      </c>
      <c r="D347" s="5" t="s">
        <v>1361</v>
      </c>
      <c r="E347" s="5" t="s">
        <v>1388</v>
      </c>
      <c r="F347" s="5" t="s">
        <v>1388</v>
      </c>
      <c r="G347" s="5" t="s">
        <v>1300</v>
      </c>
      <c r="I347" s="5" t="s">
        <v>1386</v>
      </c>
    </row>
    <row r="348" spans="1:9" x14ac:dyDescent="0.3">
      <c r="A348" s="5" t="s">
        <v>812</v>
      </c>
      <c r="B348" s="8">
        <v>880</v>
      </c>
      <c r="C348" s="9">
        <f t="shared" si="5"/>
        <v>2.9444826721501687</v>
      </c>
      <c r="D348" s="5" t="s">
        <v>1361</v>
      </c>
      <c r="E348" s="5" t="s">
        <v>1388</v>
      </c>
      <c r="F348" s="5" t="s">
        <v>1388</v>
      </c>
      <c r="G348" s="5" t="s">
        <v>1300</v>
      </c>
      <c r="I348" s="5" t="s">
        <v>1386</v>
      </c>
    </row>
    <row r="349" spans="1:9" x14ac:dyDescent="0.3">
      <c r="A349" s="5" t="s">
        <v>815</v>
      </c>
      <c r="B349" s="8">
        <v>33000</v>
      </c>
      <c r="C349" s="9">
        <f t="shared" si="5"/>
        <v>4.5185139398778871</v>
      </c>
      <c r="D349" s="5" t="s">
        <v>1361</v>
      </c>
      <c r="E349" s="5" t="s">
        <v>1388</v>
      </c>
      <c r="F349" s="5" t="s">
        <v>1388</v>
      </c>
      <c r="G349" s="5" t="s">
        <v>1300</v>
      </c>
      <c r="I349" s="5" t="s">
        <v>1386</v>
      </c>
    </row>
    <row r="350" spans="1:9" x14ac:dyDescent="0.3">
      <c r="A350" s="5" t="s">
        <v>817</v>
      </c>
      <c r="B350" s="8">
        <v>164</v>
      </c>
      <c r="C350" s="9">
        <f t="shared" si="5"/>
        <v>2.214843848047698</v>
      </c>
      <c r="D350" s="5" t="s">
        <v>1361</v>
      </c>
      <c r="E350" s="5" t="s">
        <v>1388</v>
      </c>
      <c r="F350" s="5" t="s">
        <v>1388</v>
      </c>
      <c r="G350" s="5" t="s">
        <v>1300</v>
      </c>
      <c r="I350" s="5" t="s">
        <v>1386</v>
      </c>
    </row>
    <row r="351" spans="1:9" x14ac:dyDescent="0.3">
      <c r="A351" s="5" t="s">
        <v>820</v>
      </c>
      <c r="B351" s="8">
        <v>10000</v>
      </c>
      <c r="C351" s="9">
        <f t="shared" si="5"/>
        <v>4</v>
      </c>
      <c r="D351" s="5" t="s">
        <v>1361</v>
      </c>
      <c r="E351" s="5" t="s">
        <v>1388</v>
      </c>
      <c r="F351" s="5" t="s">
        <v>1388</v>
      </c>
      <c r="G351" s="5" t="s">
        <v>1300</v>
      </c>
      <c r="I351" s="5" t="s">
        <v>1386</v>
      </c>
    </row>
    <row r="352" spans="1:9" x14ac:dyDescent="0.3">
      <c r="A352" s="5" t="s">
        <v>822</v>
      </c>
      <c r="B352" s="8">
        <v>1060000000</v>
      </c>
      <c r="C352" s="9">
        <f t="shared" si="5"/>
        <v>9.0253058652647695</v>
      </c>
      <c r="D352" s="5" t="s">
        <v>1361</v>
      </c>
      <c r="E352" s="5" t="s">
        <v>1324</v>
      </c>
      <c r="F352" s="5" t="s">
        <v>1397</v>
      </c>
      <c r="G352" s="5" t="s">
        <v>1380</v>
      </c>
      <c r="I352" s="5" t="s">
        <v>1386</v>
      </c>
    </row>
    <row r="353" spans="1:9" x14ac:dyDescent="0.3">
      <c r="A353" s="5" t="s">
        <v>825</v>
      </c>
      <c r="B353" s="8">
        <v>1900000000</v>
      </c>
      <c r="C353" s="9">
        <f t="shared" si="5"/>
        <v>9.2787536009528289</v>
      </c>
      <c r="D353" s="5" t="s">
        <v>1361</v>
      </c>
      <c r="E353" s="5" t="s">
        <v>1325</v>
      </c>
      <c r="F353" s="5" t="s">
        <v>1397</v>
      </c>
      <c r="G353" s="5" t="s">
        <v>1380</v>
      </c>
      <c r="I353" s="5" t="s">
        <v>1386</v>
      </c>
    </row>
    <row r="354" spans="1:9" x14ac:dyDescent="0.3">
      <c r="A354" s="5" t="s">
        <v>827</v>
      </c>
      <c r="B354" s="8">
        <v>200000000</v>
      </c>
      <c r="C354" s="9">
        <f t="shared" si="5"/>
        <v>8.3010299956639813</v>
      </c>
      <c r="D354" s="5" t="s">
        <v>1361</v>
      </c>
      <c r="E354" s="5" t="s">
        <v>1314</v>
      </c>
      <c r="F354" s="5" t="s">
        <v>1396</v>
      </c>
      <c r="G354" s="5" t="s">
        <v>1263</v>
      </c>
      <c r="I354" s="5" t="s">
        <v>1386</v>
      </c>
    </row>
    <row r="355" spans="1:9" x14ac:dyDescent="0.3">
      <c r="A355" s="5" t="s">
        <v>830</v>
      </c>
      <c r="B355" s="8">
        <v>600000000</v>
      </c>
      <c r="C355" s="9">
        <f t="shared" si="5"/>
        <v>8.7781512503836439</v>
      </c>
      <c r="D355" s="5" t="s">
        <v>1361</v>
      </c>
      <c r="E355" s="5" t="s">
        <v>1314</v>
      </c>
      <c r="F355" s="5" t="s">
        <v>1396</v>
      </c>
      <c r="G355" s="5" t="s">
        <v>1263</v>
      </c>
      <c r="I355" s="5" t="s">
        <v>1386</v>
      </c>
    </row>
    <row r="356" spans="1:9" x14ac:dyDescent="0.3">
      <c r="A356" s="5" t="s">
        <v>833</v>
      </c>
      <c r="B356" s="8">
        <v>8000000000</v>
      </c>
      <c r="C356" s="9">
        <f t="shared" si="5"/>
        <v>9.9030899869919438</v>
      </c>
      <c r="D356" s="5" t="s">
        <v>1361</v>
      </c>
      <c r="E356" s="5" t="s">
        <v>1314</v>
      </c>
      <c r="F356" s="5" t="s">
        <v>1396</v>
      </c>
      <c r="G356" s="5" t="s">
        <v>1263</v>
      </c>
      <c r="I356" s="5" t="s">
        <v>1386</v>
      </c>
    </row>
    <row r="357" spans="1:9" x14ac:dyDescent="0.3">
      <c r="A357" s="5" t="s">
        <v>836</v>
      </c>
      <c r="B357" s="8">
        <v>17000000</v>
      </c>
      <c r="C357" s="9">
        <f t="shared" si="5"/>
        <v>7.2304489213782741</v>
      </c>
      <c r="D357" s="5" t="s">
        <v>1361</v>
      </c>
      <c r="E357" s="5" t="s">
        <v>1314</v>
      </c>
      <c r="F357" s="5" t="s">
        <v>1396</v>
      </c>
      <c r="G357" s="5" t="s">
        <v>1263</v>
      </c>
      <c r="I357" s="5" t="s">
        <v>1386</v>
      </c>
    </row>
    <row r="358" spans="1:9" x14ac:dyDescent="0.3">
      <c r="A358" s="5" t="s">
        <v>839</v>
      </c>
      <c r="B358" s="8">
        <v>6800000000</v>
      </c>
      <c r="C358" s="9">
        <f t="shared" si="5"/>
        <v>9.8325089127062366</v>
      </c>
      <c r="D358" s="5" t="s">
        <v>1361</v>
      </c>
      <c r="E358" s="5" t="s">
        <v>1324</v>
      </c>
      <c r="F358" s="5" t="s">
        <v>1397</v>
      </c>
      <c r="G358" s="5" t="s">
        <v>1380</v>
      </c>
      <c r="I358" s="5" t="s">
        <v>1386</v>
      </c>
    </row>
    <row r="359" spans="1:9" x14ac:dyDescent="0.3">
      <c r="A359" s="5" t="s">
        <v>842</v>
      </c>
      <c r="B359" s="8">
        <v>6830000000</v>
      </c>
      <c r="C359" s="9">
        <f t="shared" si="5"/>
        <v>9.8344207036815323</v>
      </c>
      <c r="D359" s="5" t="s">
        <v>1361</v>
      </c>
      <c r="E359" s="5" t="s">
        <v>1325</v>
      </c>
      <c r="F359" s="5" t="s">
        <v>1397</v>
      </c>
      <c r="G359" s="5" t="s">
        <v>1380</v>
      </c>
      <c r="I359" s="5" t="s">
        <v>1386</v>
      </c>
    </row>
    <row r="360" spans="1:9" x14ac:dyDescent="0.3">
      <c r="A360" s="5" t="s">
        <v>845</v>
      </c>
      <c r="B360" s="8">
        <v>3700000000</v>
      </c>
      <c r="C360" s="9">
        <f t="shared" si="5"/>
        <v>9.568201724066995</v>
      </c>
      <c r="D360" s="5" t="s">
        <v>1361</v>
      </c>
      <c r="E360" s="5" t="s">
        <v>1324</v>
      </c>
      <c r="F360" s="5" t="s">
        <v>1397</v>
      </c>
      <c r="G360" s="5" t="s">
        <v>1380</v>
      </c>
      <c r="I360" s="5" t="s">
        <v>1386</v>
      </c>
    </row>
    <row r="361" spans="1:9" x14ac:dyDescent="0.3">
      <c r="A361" s="5" t="s">
        <v>848</v>
      </c>
      <c r="B361" s="8">
        <v>3900000000</v>
      </c>
      <c r="C361" s="9">
        <f t="shared" si="5"/>
        <v>9.5910646070264995</v>
      </c>
      <c r="D361" s="5" t="s">
        <v>1361</v>
      </c>
      <c r="E361" s="5" t="s">
        <v>1324</v>
      </c>
      <c r="F361" s="5" t="s">
        <v>1397</v>
      </c>
      <c r="G361" s="5" t="s">
        <v>1380</v>
      </c>
      <c r="I361" s="5" t="s">
        <v>1386</v>
      </c>
    </row>
    <row r="362" spans="1:9" x14ac:dyDescent="0.3">
      <c r="A362" s="5" t="s">
        <v>851</v>
      </c>
      <c r="B362" s="8">
        <v>4200000000</v>
      </c>
      <c r="C362" s="9">
        <f t="shared" si="5"/>
        <v>9.6232492903979008</v>
      </c>
      <c r="D362" s="5" t="s">
        <v>1361</v>
      </c>
      <c r="E362" s="5" t="s">
        <v>1324</v>
      </c>
      <c r="F362" s="5" t="s">
        <v>1397</v>
      </c>
      <c r="G362" s="5" t="s">
        <v>1380</v>
      </c>
      <c r="I362" s="5" t="s">
        <v>1386</v>
      </c>
    </row>
    <row r="363" spans="1:9" x14ac:dyDescent="0.3">
      <c r="A363" s="5" t="s">
        <v>854</v>
      </c>
      <c r="B363" s="8">
        <v>1700000</v>
      </c>
      <c r="C363" s="9">
        <f t="shared" si="5"/>
        <v>6.2304489213782741</v>
      </c>
      <c r="D363" s="5" t="s">
        <v>1361</v>
      </c>
      <c r="E363" s="5" t="s">
        <v>1388</v>
      </c>
      <c r="F363" s="5" t="s">
        <v>1396</v>
      </c>
      <c r="G363" s="5" t="s">
        <v>1326</v>
      </c>
      <c r="I363" s="5" t="s">
        <v>1386</v>
      </c>
    </row>
    <row r="364" spans="1:9" x14ac:dyDescent="0.3">
      <c r="A364" s="5" t="s">
        <v>857</v>
      </c>
      <c r="B364" s="8">
        <v>1200000</v>
      </c>
      <c r="C364" s="9">
        <f t="shared" si="5"/>
        <v>6.0791812460476251</v>
      </c>
      <c r="D364" s="5" t="s">
        <v>1361</v>
      </c>
      <c r="E364" s="5" t="s">
        <v>1388</v>
      </c>
      <c r="F364" s="5" t="s">
        <v>1396</v>
      </c>
      <c r="G364" s="5" t="s">
        <v>1326</v>
      </c>
      <c r="I364" s="5" t="s">
        <v>1386</v>
      </c>
    </row>
    <row r="365" spans="1:9" x14ac:dyDescent="0.3">
      <c r="A365" s="5" t="s">
        <v>860</v>
      </c>
      <c r="B365" s="8">
        <v>1400000000</v>
      </c>
      <c r="C365" s="9">
        <f t="shared" si="5"/>
        <v>9.1461280356782382</v>
      </c>
      <c r="D365" s="5" t="s">
        <v>1361</v>
      </c>
      <c r="E365" s="5" t="s">
        <v>1314</v>
      </c>
      <c r="F365" s="5" t="s">
        <v>1396</v>
      </c>
      <c r="G365" s="5" t="s">
        <v>1263</v>
      </c>
      <c r="I365" s="5" t="s">
        <v>1386</v>
      </c>
    </row>
    <row r="366" spans="1:9" x14ac:dyDescent="0.3">
      <c r="A366" s="5" t="s">
        <v>863</v>
      </c>
      <c r="B366" s="8">
        <v>1000000000</v>
      </c>
      <c r="C366" s="9">
        <f t="shared" si="5"/>
        <v>9</v>
      </c>
      <c r="D366" s="5" t="s">
        <v>1361</v>
      </c>
      <c r="E366" s="5" t="s">
        <v>1314</v>
      </c>
      <c r="F366" s="5" t="s">
        <v>1396</v>
      </c>
      <c r="G366" s="5" t="s">
        <v>1263</v>
      </c>
      <c r="I366" s="5" t="s">
        <v>1386</v>
      </c>
    </row>
    <row r="367" spans="1:9" x14ac:dyDescent="0.3">
      <c r="A367" s="5" t="s">
        <v>866</v>
      </c>
      <c r="B367" s="8">
        <v>100000000</v>
      </c>
      <c r="C367" s="9">
        <f t="shared" si="5"/>
        <v>8</v>
      </c>
      <c r="D367" s="5" t="s">
        <v>1361</v>
      </c>
      <c r="E367" s="5" t="s">
        <v>1314</v>
      </c>
      <c r="F367" s="5" t="s">
        <v>1396</v>
      </c>
      <c r="G367" s="5" t="s">
        <v>1263</v>
      </c>
      <c r="I367" s="5" t="s">
        <v>1386</v>
      </c>
    </row>
    <row r="368" spans="1:9" x14ac:dyDescent="0.3">
      <c r="A368" s="5" t="s">
        <v>869</v>
      </c>
      <c r="B368" s="8">
        <v>510000000</v>
      </c>
      <c r="C368" s="9">
        <f t="shared" si="5"/>
        <v>8.7075701760979367</v>
      </c>
      <c r="D368" s="5" t="s">
        <v>1361</v>
      </c>
      <c r="E368" s="5" t="s">
        <v>1314</v>
      </c>
      <c r="F368" s="5" t="s">
        <v>1396</v>
      </c>
      <c r="G368" s="5" t="s">
        <v>1327</v>
      </c>
      <c r="I368" s="5" t="s">
        <v>1386</v>
      </c>
    </row>
    <row r="369" spans="1:9" x14ac:dyDescent="0.3">
      <c r="A369" s="5" t="s">
        <v>872</v>
      </c>
      <c r="B369" s="8">
        <v>6800000</v>
      </c>
      <c r="C369" s="9">
        <f t="shared" si="5"/>
        <v>6.8325089127062366</v>
      </c>
      <c r="D369" s="5" t="s">
        <v>1361</v>
      </c>
      <c r="E369" s="5" t="s">
        <v>1388</v>
      </c>
      <c r="F369" s="5" t="s">
        <v>1396</v>
      </c>
      <c r="G369" s="5" t="s">
        <v>1326</v>
      </c>
      <c r="I369" s="5" t="s">
        <v>1386</v>
      </c>
    </row>
    <row r="370" spans="1:9" x14ac:dyDescent="0.3">
      <c r="A370" s="5" t="s">
        <v>875</v>
      </c>
      <c r="B370" s="8">
        <v>3700000000</v>
      </c>
      <c r="C370" s="9">
        <f t="shared" si="5"/>
        <v>9.568201724066995</v>
      </c>
      <c r="D370" s="5" t="s">
        <v>1361</v>
      </c>
      <c r="E370" s="5" t="s">
        <v>1325</v>
      </c>
      <c r="F370" s="5" t="s">
        <v>1397</v>
      </c>
      <c r="G370" s="5" t="s">
        <v>1380</v>
      </c>
      <c r="H370" s="10">
        <v>0.19579526269188169</v>
      </c>
      <c r="I370" s="5" t="s">
        <v>1386</v>
      </c>
    </row>
    <row r="371" spans="1:9" x14ac:dyDescent="0.3">
      <c r="A371" s="5" t="s">
        <v>875</v>
      </c>
      <c r="B371" s="8">
        <v>7000000000</v>
      </c>
      <c r="C371" s="9">
        <f t="shared" si="5"/>
        <v>9.8450980400142569</v>
      </c>
      <c r="D371" s="5" t="s">
        <v>1361</v>
      </c>
      <c r="E371" s="5">
        <v>20</v>
      </c>
      <c r="F371" s="5" t="s">
        <v>1397</v>
      </c>
      <c r="G371" s="5" t="s">
        <v>1286</v>
      </c>
      <c r="H371" s="10">
        <v>0.19579526269188169</v>
      </c>
      <c r="I371" s="5" t="s">
        <v>1386</v>
      </c>
    </row>
    <row r="372" spans="1:9" x14ac:dyDescent="0.3">
      <c r="A372" s="5" t="s">
        <v>878</v>
      </c>
      <c r="B372" s="8">
        <v>1400</v>
      </c>
      <c r="C372" s="9">
        <f t="shared" si="5"/>
        <v>3.1461280356782382</v>
      </c>
      <c r="D372" s="5" t="s">
        <v>1361</v>
      </c>
      <c r="E372" s="5">
        <v>25</v>
      </c>
      <c r="F372" s="5" t="s">
        <v>1399</v>
      </c>
      <c r="G372" s="5" t="s">
        <v>1328</v>
      </c>
      <c r="I372" s="5" t="s">
        <v>1386</v>
      </c>
    </row>
    <row r="373" spans="1:9" x14ac:dyDescent="0.3">
      <c r="A373" s="5" t="s">
        <v>881</v>
      </c>
      <c r="B373" s="8">
        <v>16800</v>
      </c>
      <c r="C373" s="9">
        <f t="shared" si="5"/>
        <v>4.2253092817258633</v>
      </c>
      <c r="D373" s="5" t="s">
        <v>1361</v>
      </c>
      <c r="E373" s="5" t="s">
        <v>1324</v>
      </c>
      <c r="F373" s="5" t="s">
        <v>1397</v>
      </c>
      <c r="G373" s="5" t="s">
        <v>1380</v>
      </c>
      <c r="I373" s="5" t="s">
        <v>1386</v>
      </c>
    </row>
    <row r="374" spans="1:9" x14ac:dyDescent="0.3">
      <c r="A374" s="14" t="s">
        <v>883</v>
      </c>
      <c r="B374" s="8">
        <v>30000</v>
      </c>
      <c r="C374" s="9">
        <f t="shared" si="5"/>
        <v>4.4771212547196626</v>
      </c>
      <c r="D374" s="5" t="s">
        <v>1361</v>
      </c>
      <c r="E374" s="5" t="s">
        <v>1314</v>
      </c>
      <c r="F374" s="5" t="s">
        <v>1396</v>
      </c>
      <c r="G374" s="5" t="s">
        <v>1329</v>
      </c>
      <c r="I374" s="5" t="s">
        <v>1386</v>
      </c>
    </row>
    <row r="375" spans="1:9" x14ac:dyDescent="0.3">
      <c r="A375" s="14" t="s">
        <v>886</v>
      </c>
      <c r="B375" s="8">
        <v>500</v>
      </c>
      <c r="C375" s="9">
        <f t="shared" si="5"/>
        <v>2.6989700043360187</v>
      </c>
      <c r="D375" s="5" t="s">
        <v>1361</v>
      </c>
      <c r="E375" s="5" t="s">
        <v>1314</v>
      </c>
      <c r="F375" s="5" t="s">
        <v>1396</v>
      </c>
      <c r="G375" s="5" t="s">
        <v>1329</v>
      </c>
      <c r="I375" s="5" t="s">
        <v>1386</v>
      </c>
    </row>
    <row r="376" spans="1:9" x14ac:dyDescent="0.3">
      <c r="A376" s="5" t="s">
        <v>888</v>
      </c>
      <c r="B376" s="8">
        <v>1100</v>
      </c>
      <c r="C376" s="9">
        <f t="shared" si="5"/>
        <v>3.0413926851582249</v>
      </c>
      <c r="D376" s="5" t="s">
        <v>1361</v>
      </c>
      <c r="E376" s="5" t="s">
        <v>1314</v>
      </c>
      <c r="F376" s="5" t="s">
        <v>1396</v>
      </c>
      <c r="G376" s="5" t="s">
        <v>1263</v>
      </c>
      <c r="I376" s="5" t="s">
        <v>1386</v>
      </c>
    </row>
    <row r="377" spans="1:9" x14ac:dyDescent="0.3">
      <c r="A377" s="5" t="s">
        <v>890</v>
      </c>
      <c r="B377" s="8">
        <v>600</v>
      </c>
      <c r="C377" s="9">
        <f t="shared" si="5"/>
        <v>2.7781512503836434</v>
      </c>
      <c r="D377" s="5" t="s">
        <v>1361</v>
      </c>
      <c r="E377" s="5" t="s">
        <v>1314</v>
      </c>
      <c r="F377" s="5" t="s">
        <v>1396</v>
      </c>
      <c r="G377" s="5" t="s">
        <v>1263</v>
      </c>
      <c r="I377" s="5" t="s">
        <v>1386</v>
      </c>
    </row>
    <row r="378" spans="1:9" x14ac:dyDescent="0.3">
      <c r="A378" s="5" t="s">
        <v>892</v>
      </c>
      <c r="B378" s="8">
        <v>12000</v>
      </c>
      <c r="C378" s="9">
        <f t="shared" si="5"/>
        <v>4.0791812460476251</v>
      </c>
      <c r="D378" s="5" t="s">
        <v>1361</v>
      </c>
      <c r="E378" s="5" t="s">
        <v>1314</v>
      </c>
      <c r="F378" s="5" t="s">
        <v>1396</v>
      </c>
      <c r="G378" s="5" t="s">
        <v>1263</v>
      </c>
      <c r="I378" s="5" t="s">
        <v>1386</v>
      </c>
    </row>
    <row r="379" spans="1:9" x14ac:dyDescent="0.3">
      <c r="A379" s="5" t="s">
        <v>895</v>
      </c>
      <c r="B379" s="8">
        <v>13000</v>
      </c>
      <c r="C379" s="9">
        <f t="shared" si="5"/>
        <v>4.1139433523068369</v>
      </c>
      <c r="D379" s="5" t="s">
        <v>1361</v>
      </c>
      <c r="E379" s="5" t="s">
        <v>1314</v>
      </c>
      <c r="F379" s="5" t="s">
        <v>1396</v>
      </c>
      <c r="G379" s="5" t="s">
        <v>1263</v>
      </c>
      <c r="I379" s="5" t="s">
        <v>1386</v>
      </c>
    </row>
    <row r="380" spans="1:9" x14ac:dyDescent="0.3">
      <c r="A380" s="5" t="s">
        <v>898</v>
      </c>
      <c r="B380" s="8">
        <v>30000</v>
      </c>
      <c r="C380" s="9">
        <f t="shared" si="5"/>
        <v>4.4771212547196626</v>
      </c>
      <c r="D380" s="5" t="s">
        <v>1361</v>
      </c>
      <c r="E380" s="5" t="s">
        <v>1314</v>
      </c>
      <c r="F380" s="5" t="s">
        <v>1396</v>
      </c>
      <c r="G380" s="5" t="s">
        <v>1263</v>
      </c>
      <c r="I380" s="5" t="s">
        <v>1386</v>
      </c>
    </row>
    <row r="381" spans="1:9" x14ac:dyDescent="0.3">
      <c r="A381" s="5" t="s">
        <v>901</v>
      </c>
      <c r="B381" s="8">
        <v>2000</v>
      </c>
      <c r="C381" s="9">
        <f t="shared" si="5"/>
        <v>3.3010299956639813</v>
      </c>
      <c r="D381" s="5" t="s">
        <v>1361</v>
      </c>
      <c r="E381" s="5" t="s">
        <v>1314</v>
      </c>
      <c r="F381" s="5" t="s">
        <v>1396</v>
      </c>
      <c r="G381" s="5" t="s">
        <v>1263</v>
      </c>
      <c r="I381" s="5" t="s">
        <v>1386</v>
      </c>
    </row>
    <row r="382" spans="1:9" x14ac:dyDescent="0.3">
      <c r="A382" s="5" t="s">
        <v>904</v>
      </c>
      <c r="B382" s="8">
        <v>1500</v>
      </c>
      <c r="C382" s="9">
        <f t="shared" si="5"/>
        <v>3.1760912590556813</v>
      </c>
      <c r="D382" s="5" t="s">
        <v>1361</v>
      </c>
      <c r="E382" s="5" t="s">
        <v>1314</v>
      </c>
      <c r="F382" s="5" t="s">
        <v>1396</v>
      </c>
      <c r="G382" s="5" t="s">
        <v>1263</v>
      </c>
      <c r="I382" s="5" t="s">
        <v>1386</v>
      </c>
    </row>
    <row r="383" spans="1:9" x14ac:dyDescent="0.3">
      <c r="A383" s="5" t="s">
        <v>906</v>
      </c>
      <c r="B383" s="8">
        <v>24700</v>
      </c>
      <c r="C383" s="9">
        <f t="shared" si="5"/>
        <v>4.3926969532596658</v>
      </c>
      <c r="D383" s="5" t="s">
        <v>1361</v>
      </c>
      <c r="E383" s="5">
        <v>20</v>
      </c>
      <c r="F383" s="5" t="s">
        <v>1397</v>
      </c>
      <c r="G383" s="5" t="s">
        <v>1330</v>
      </c>
      <c r="I383" s="5" t="s">
        <v>1386</v>
      </c>
    </row>
    <row r="384" spans="1:9" x14ac:dyDescent="0.3">
      <c r="A384" s="5" t="s">
        <v>909</v>
      </c>
      <c r="B384" s="8">
        <v>19500</v>
      </c>
      <c r="C384" s="9">
        <f t="shared" si="5"/>
        <v>4.2900346113625183</v>
      </c>
      <c r="D384" s="5" t="s">
        <v>1361</v>
      </c>
      <c r="E384" s="5">
        <v>20</v>
      </c>
      <c r="F384" s="5" t="s">
        <v>1397</v>
      </c>
      <c r="G384" s="5" t="s">
        <v>1330</v>
      </c>
      <c r="I384" s="5" t="s">
        <v>1386</v>
      </c>
    </row>
    <row r="385" spans="1:9" x14ac:dyDescent="0.3">
      <c r="A385" s="5" t="s">
        <v>912</v>
      </c>
      <c r="B385" s="8">
        <v>98800</v>
      </c>
      <c r="C385" s="9">
        <f t="shared" si="5"/>
        <v>4.9947569445876283</v>
      </c>
      <c r="D385" s="5" t="s">
        <v>1361</v>
      </c>
      <c r="E385" s="5">
        <v>20</v>
      </c>
      <c r="F385" s="5" t="s">
        <v>1397</v>
      </c>
      <c r="G385" s="5" t="s">
        <v>1330</v>
      </c>
      <c r="I385" s="5" t="s">
        <v>1386</v>
      </c>
    </row>
    <row r="386" spans="1:9" x14ac:dyDescent="0.3">
      <c r="A386" s="5" t="s">
        <v>915</v>
      </c>
      <c r="B386" s="8">
        <v>98800</v>
      </c>
      <c r="C386" s="9">
        <f t="shared" si="5"/>
        <v>4.9947569445876283</v>
      </c>
      <c r="D386" s="5" t="s">
        <v>1361</v>
      </c>
      <c r="E386" s="5">
        <v>20</v>
      </c>
      <c r="F386" s="5" t="s">
        <v>1397</v>
      </c>
      <c r="G386" s="5" t="s">
        <v>1330</v>
      </c>
      <c r="I386" s="5" t="s">
        <v>1386</v>
      </c>
    </row>
    <row r="387" spans="1:9" x14ac:dyDescent="0.3">
      <c r="A387" s="5" t="s">
        <v>918</v>
      </c>
      <c r="B387" s="8">
        <v>74000</v>
      </c>
      <c r="C387" s="9">
        <f t="shared" ref="C387:C450" si="6">LOG10(B387)</f>
        <v>4.8692317197309762</v>
      </c>
      <c r="D387" s="5" t="s">
        <v>1361</v>
      </c>
      <c r="E387" s="5" t="s">
        <v>1267</v>
      </c>
      <c r="F387" s="5" t="s">
        <v>1397</v>
      </c>
      <c r="G387" s="5" t="s">
        <v>1258</v>
      </c>
      <c r="I387" s="5" t="s">
        <v>1386</v>
      </c>
    </row>
    <row r="388" spans="1:9" x14ac:dyDescent="0.3">
      <c r="A388" s="5" t="s">
        <v>921</v>
      </c>
      <c r="B388" s="8">
        <v>180000</v>
      </c>
      <c r="C388" s="9">
        <f t="shared" si="6"/>
        <v>5.2552725051033065</v>
      </c>
      <c r="D388" s="5" t="s">
        <v>1361</v>
      </c>
      <c r="E388" s="5" t="s">
        <v>1325</v>
      </c>
      <c r="F388" s="5" t="s">
        <v>1397</v>
      </c>
      <c r="G388" s="5" t="s">
        <v>1331</v>
      </c>
      <c r="I388" s="5" t="s">
        <v>1386</v>
      </c>
    </row>
    <row r="389" spans="1:9" x14ac:dyDescent="0.3">
      <c r="A389" s="5" t="s">
        <v>923</v>
      </c>
      <c r="B389" s="8">
        <v>310000</v>
      </c>
      <c r="C389" s="9">
        <f t="shared" si="6"/>
        <v>5.4913616938342731</v>
      </c>
      <c r="D389" s="5" t="s">
        <v>1361</v>
      </c>
      <c r="E389" s="5">
        <v>20</v>
      </c>
      <c r="F389" s="5" t="s">
        <v>1397</v>
      </c>
      <c r="G389" s="5" t="s">
        <v>1330</v>
      </c>
      <c r="I389" s="5" t="s">
        <v>1386</v>
      </c>
    </row>
    <row r="390" spans="1:9" x14ac:dyDescent="0.3">
      <c r="A390" s="5" t="s">
        <v>926</v>
      </c>
      <c r="B390" s="8">
        <v>91000</v>
      </c>
      <c r="C390" s="9">
        <f t="shared" si="6"/>
        <v>4.9590413923210939</v>
      </c>
      <c r="D390" s="5" t="s">
        <v>1361</v>
      </c>
      <c r="E390" s="5">
        <v>20</v>
      </c>
      <c r="F390" s="5" t="s">
        <v>1397</v>
      </c>
      <c r="G390" s="5" t="s">
        <v>1330</v>
      </c>
      <c r="I390" s="5" t="s">
        <v>1386</v>
      </c>
    </row>
    <row r="391" spans="1:9" x14ac:dyDescent="0.3">
      <c r="A391" s="5" t="s">
        <v>929</v>
      </c>
      <c r="B391" s="8">
        <v>1800000</v>
      </c>
      <c r="C391" s="9">
        <f t="shared" si="6"/>
        <v>6.2552725051033065</v>
      </c>
      <c r="D391" s="5" t="s">
        <v>1361</v>
      </c>
      <c r="E391" s="5">
        <v>20</v>
      </c>
      <c r="F391" s="5" t="s">
        <v>1397</v>
      </c>
      <c r="G391" s="5" t="s">
        <v>1330</v>
      </c>
      <c r="I391" s="5" t="s">
        <v>1386</v>
      </c>
    </row>
    <row r="392" spans="1:9" x14ac:dyDescent="0.3">
      <c r="A392" s="5" t="s">
        <v>932</v>
      </c>
      <c r="B392" s="8">
        <v>50</v>
      </c>
      <c r="C392" s="9">
        <f t="shared" si="6"/>
        <v>1.6989700043360187</v>
      </c>
      <c r="D392" s="5" t="s">
        <v>1361</v>
      </c>
      <c r="E392" s="5" t="s">
        <v>1314</v>
      </c>
      <c r="F392" s="5" t="s">
        <v>1396</v>
      </c>
      <c r="G392" s="5" t="s">
        <v>1263</v>
      </c>
      <c r="I392" s="5" t="s">
        <v>1386</v>
      </c>
    </row>
    <row r="393" spans="1:9" x14ac:dyDescent="0.3">
      <c r="A393" s="5" t="s">
        <v>934</v>
      </c>
      <c r="B393" s="8">
        <v>38500</v>
      </c>
      <c r="C393" s="9">
        <f t="shared" si="6"/>
        <v>4.585460729508501</v>
      </c>
      <c r="D393" s="5" t="s">
        <v>1361</v>
      </c>
      <c r="E393" s="5" t="s">
        <v>1324</v>
      </c>
      <c r="F393" s="5" t="s">
        <v>1397</v>
      </c>
      <c r="G393" s="5" t="s">
        <v>1380</v>
      </c>
      <c r="I393" s="5" t="s">
        <v>1386</v>
      </c>
    </row>
    <row r="394" spans="1:9" x14ac:dyDescent="0.3">
      <c r="A394" s="5" t="s">
        <v>936</v>
      </c>
      <c r="B394" s="8">
        <v>43000</v>
      </c>
      <c r="C394" s="9">
        <f t="shared" si="6"/>
        <v>4.6334684555795862</v>
      </c>
      <c r="D394" s="5" t="s">
        <v>1361</v>
      </c>
      <c r="E394" s="5" t="s">
        <v>1332</v>
      </c>
      <c r="F394" s="5" t="s">
        <v>1396</v>
      </c>
      <c r="G394" s="5" t="s">
        <v>1333</v>
      </c>
      <c r="I394" s="5" t="s">
        <v>1386</v>
      </c>
    </row>
    <row r="395" spans="1:9" x14ac:dyDescent="0.3">
      <c r="A395" s="5" t="s">
        <v>938</v>
      </c>
      <c r="B395" s="8">
        <v>220000</v>
      </c>
      <c r="C395" s="9">
        <f t="shared" si="6"/>
        <v>5.3424226808222066</v>
      </c>
      <c r="D395" s="5" t="s">
        <v>1361</v>
      </c>
      <c r="E395" s="5" t="s">
        <v>1324</v>
      </c>
      <c r="F395" s="5" t="s">
        <v>1397</v>
      </c>
      <c r="G395" s="5" t="s">
        <v>1380</v>
      </c>
      <c r="I395" s="5" t="s">
        <v>1386</v>
      </c>
    </row>
    <row r="396" spans="1:9" x14ac:dyDescent="0.3">
      <c r="A396" s="5" t="s">
        <v>940</v>
      </c>
      <c r="B396" s="8">
        <v>100000</v>
      </c>
      <c r="C396" s="9">
        <f t="shared" si="6"/>
        <v>5</v>
      </c>
      <c r="D396" s="5" t="s">
        <v>1361</v>
      </c>
      <c r="E396" s="5" t="s">
        <v>1324</v>
      </c>
      <c r="F396" s="5" t="s">
        <v>1397</v>
      </c>
      <c r="G396" s="5" t="s">
        <v>1380</v>
      </c>
      <c r="I396" s="5" t="s">
        <v>1386</v>
      </c>
    </row>
    <row r="397" spans="1:9" x14ac:dyDescent="0.3">
      <c r="A397" s="5" t="s">
        <v>942</v>
      </c>
      <c r="B397" s="8">
        <v>150000</v>
      </c>
      <c r="C397" s="9">
        <f t="shared" si="6"/>
        <v>5.1760912590556813</v>
      </c>
      <c r="D397" s="5" t="s">
        <v>1361</v>
      </c>
      <c r="E397" s="5" t="s">
        <v>1324</v>
      </c>
      <c r="F397" s="5" t="s">
        <v>1397</v>
      </c>
      <c r="G397" s="5" t="s">
        <v>1380</v>
      </c>
      <c r="I397" s="5" t="s">
        <v>1386</v>
      </c>
    </row>
    <row r="398" spans="1:9" x14ac:dyDescent="0.3">
      <c r="A398" s="5" t="s">
        <v>944</v>
      </c>
      <c r="B398" s="8">
        <v>1300</v>
      </c>
      <c r="C398" s="9">
        <f t="shared" si="6"/>
        <v>3.1139433523068369</v>
      </c>
      <c r="D398" s="5" t="s">
        <v>1361</v>
      </c>
      <c r="E398" s="5" t="s">
        <v>1314</v>
      </c>
      <c r="F398" s="5" t="s">
        <v>1396</v>
      </c>
      <c r="G398" s="5" t="s">
        <v>1263</v>
      </c>
      <c r="I398" s="5" t="s">
        <v>1386</v>
      </c>
    </row>
    <row r="399" spans="1:9" x14ac:dyDescent="0.3">
      <c r="A399" s="5" t="s">
        <v>946</v>
      </c>
      <c r="B399" s="8">
        <v>3000</v>
      </c>
      <c r="C399" s="9">
        <f t="shared" si="6"/>
        <v>3.4771212547196626</v>
      </c>
      <c r="D399" s="5" t="s">
        <v>1361</v>
      </c>
      <c r="E399" s="5" t="s">
        <v>1314</v>
      </c>
      <c r="F399" s="5" t="s">
        <v>1396</v>
      </c>
      <c r="G399" s="5" t="s">
        <v>1263</v>
      </c>
      <c r="I399" s="5" t="s">
        <v>1386</v>
      </c>
    </row>
    <row r="400" spans="1:9" x14ac:dyDescent="0.3">
      <c r="A400" s="5" t="s">
        <v>948</v>
      </c>
      <c r="B400" s="8">
        <v>10000</v>
      </c>
      <c r="C400" s="9">
        <f t="shared" si="6"/>
        <v>4</v>
      </c>
      <c r="D400" s="5" t="s">
        <v>1361</v>
      </c>
      <c r="E400" s="5" t="s">
        <v>1314</v>
      </c>
      <c r="F400" s="5" t="s">
        <v>1396</v>
      </c>
      <c r="G400" s="5" t="s">
        <v>1263</v>
      </c>
      <c r="I400" s="5" t="s">
        <v>1386</v>
      </c>
    </row>
    <row r="401" spans="1:9" x14ac:dyDescent="0.3">
      <c r="A401" s="5" t="s">
        <v>950</v>
      </c>
      <c r="B401" s="8">
        <v>1300</v>
      </c>
      <c r="C401" s="9">
        <f t="shared" si="6"/>
        <v>3.1139433523068369</v>
      </c>
      <c r="D401" s="5" t="s">
        <v>1361</v>
      </c>
      <c r="E401" s="5" t="s">
        <v>1314</v>
      </c>
      <c r="F401" s="5" t="s">
        <v>1396</v>
      </c>
      <c r="G401" s="5" t="s">
        <v>1327</v>
      </c>
      <c r="I401" s="5" t="s">
        <v>1386</v>
      </c>
    </row>
    <row r="402" spans="1:9" x14ac:dyDescent="0.3">
      <c r="A402" s="5" t="s">
        <v>952</v>
      </c>
      <c r="B402" s="8">
        <v>2.5</v>
      </c>
      <c r="C402" s="9">
        <f t="shared" si="6"/>
        <v>0.3979400086720376</v>
      </c>
      <c r="D402" s="5">
        <v>1.7</v>
      </c>
      <c r="E402" s="5" t="s">
        <v>1314</v>
      </c>
      <c r="F402" s="5" t="s">
        <v>1396</v>
      </c>
      <c r="G402" s="5" t="s">
        <v>1334</v>
      </c>
      <c r="I402" s="5" t="s">
        <v>1386</v>
      </c>
    </row>
    <row r="403" spans="1:9" x14ac:dyDescent="0.3">
      <c r="A403" s="5" t="s">
        <v>954</v>
      </c>
      <c r="B403" s="8">
        <v>2</v>
      </c>
      <c r="C403" s="9">
        <f t="shared" si="6"/>
        <v>0.3010299956639812</v>
      </c>
      <c r="D403" s="5" t="s">
        <v>1365</v>
      </c>
      <c r="E403" s="5" t="s">
        <v>1314</v>
      </c>
      <c r="F403" s="5" t="s">
        <v>1396</v>
      </c>
      <c r="G403" s="5" t="s">
        <v>1334</v>
      </c>
      <c r="I403" s="5" t="s">
        <v>1386</v>
      </c>
    </row>
    <row r="404" spans="1:9" x14ac:dyDescent="0.3">
      <c r="A404" s="5" t="s">
        <v>956</v>
      </c>
      <c r="B404" s="8">
        <v>0.23</v>
      </c>
      <c r="C404" s="9">
        <f t="shared" si="6"/>
        <v>-0.63827216398240705</v>
      </c>
      <c r="D404" s="5" t="s">
        <v>1361</v>
      </c>
      <c r="E404" s="5" t="s">
        <v>1314</v>
      </c>
      <c r="F404" s="5" t="s">
        <v>1396</v>
      </c>
      <c r="G404" s="5" t="s">
        <v>1334</v>
      </c>
      <c r="I404" s="5" t="s">
        <v>1386</v>
      </c>
    </row>
    <row r="405" spans="1:9" x14ac:dyDescent="0.3">
      <c r="A405" s="5" t="s">
        <v>959</v>
      </c>
      <c r="B405" s="8">
        <v>1.2</v>
      </c>
      <c r="C405" s="9">
        <f t="shared" si="6"/>
        <v>7.9181246047624818E-2</v>
      </c>
      <c r="D405" s="5" t="s">
        <v>1361</v>
      </c>
      <c r="E405" s="5" t="s">
        <v>1314</v>
      </c>
      <c r="F405" s="5" t="s">
        <v>1396</v>
      </c>
      <c r="G405" s="5" t="s">
        <v>1334</v>
      </c>
      <c r="I405" s="5" t="s">
        <v>1386</v>
      </c>
    </row>
    <row r="406" spans="1:9" x14ac:dyDescent="0.3">
      <c r="A406" s="5" t="s">
        <v>962</v>
      </c>
      <c r="B406" s="8">
        <v>0.75</v>
      </c>
      <c r="C406" s="9">
        <f t="shared" si="6"/>
        <v>-0.12493873660829995</v>
      </c>
      <c r="D406" s="5">
        <v>2</v>
      </c>
      <c r="E406" s="5" t="s">
        <v>1314</v>
      </c>
      <c r="F406" s="5" t="s">
        <v>1396</v>
      </c>
      <c r="G406" s="5" t="s">
        <v>1334</v>
      </c>
      <c r="I406" s="5" t="s">
        <v>1386</v>
      </c>
    </row>
    <row r="407" spans="1:9" x14ac:dyDescent="0.3">
      <c r="A407" s="5" t="s">
        <v>964</v>
      </c>
      <c r="B407" s="8">
        <v>590</v>
      </c>
      <c r="C407" s="9">
        <f t="shared" si="6"/>
        <v>2.7708520116421442</v>
      </c>
      <c r="D407" s="5" t="s">
        <v>1361</v>
      </c>
      <c r="E407" s="5">
        <v>20</v>
      </c>
      <c r="F407" s="5" t="s">
        <v>1396</v>
      </c>
      <c r="G407" s="5" t="s">
        <v>1335</v>
      </c>
      <c r="I407" s="5" t="s">
        <v>1386</v>
      </c>
    </row>
    <row r="408" spans="1:9" x14ac:dyDescent="0.3">
      <c r="A408" s="5" t="s">
        <v>967</v>
      </c>
      <c r="B408" s="8">
        <v>0.75</v>
      </c>
      <c r="C408" s="9">
        <f t="shared" si="6"/>
        <v>-0.12493873660829995</v>
      </c>
      <c r="D408" s="5" t="s">
        <v>1361</v>
      </c>
      <c r="E408" s="5">
        <v>20</v>
      </c>
      <c r="F408" s="5" t="s">
        <v>1396</v>
      </c>
      <c r="G408" s="5" t="s">
        <v>1286</v>
      </c>
      <c r="I408" s="5" t="s">
        <v>1386</v>
      </c>
    </row>
    <row r="409" spans="1:9" x14ac:dyDescent="0.3">
      <c r="A409" s="5" t="s">
        <v>970</v>
      </c>
      <c r="B409" s="8">
        <v>0.56999999999999995</v>
      </c>
      <c r="C409" s="9">
        <f t="shared" si="6"/>
        <v>-0.24412514432750865</v>
      </c>
      <c r="D409" s="5">
        <v>3</v>
      </c>
      <c r="E409" s="5">
        <v>21</v>
      </c>
      <c r="F409" s="5" t="s">
        <v>1396</v>
      </c>
      <c r="G409" s="5" t="s">
        <v>1242</v>
      </c>
      <c r="I409" s="5" t="s">
        <v>1386</v>
      </c>
    </row>
    <row r="410" spans="1:9" x14ac:dyDescent="0.3">
      <c r="A410" s="5" t="s">
        <v>973</v>
      </c>
      <c r="B410" s="8">
        <v>3</v>
      </c>
      <c r="C410" s="9">
        <f t="shared" si="6"/>
        <v>0.47712125471966244</v>
      </c>
      <c r="D410" s="5">
        <v>2</v>
      </c>
      <c r="E410" s="5" t="s">
        <v>1314</v>
      </c>
      <c r="F410" s="5" t="s">
        <v>1396</v>
      </c>
      <c r="G410" s="5" t="s">
        <v>1334</v>
      </c>
      <c r="I410" s="5" t="s">
        <v>1386</v>
      </c>
    </row>
    <row r="411" spans="1:9" x14ac:dyDescent="0.3">
      <c r="A411" s="5" t="s">
        <v>975</v>
      </c>
      <c r="B411" s="8">
        <v>0.14000000000000001</v>
      </c>
      <c r="C411" s="9">
        <f t="shared" si="6"/>
        <v>-0.85387196432176193</v>
      </c>
      <c r="D411" s="5">
        <v>2</v>
      </c>
      <c r="E411" s="5">
        <v>22</v>
      </c>
      <c r="F411" s="5" t="s">
        <v>1396</v>
      </c>
      <c r="G411" s="5" t="s">
        <v>1242</v>
      </c>
      <c r="I411" s="5" t="s">
        <v>1386</v>
      </c>
    </row>
    <row r="412" spans="1:9" x14ac:dyDescent="0.3">
      <c r="A412" s="5" t="s">
        <v>977</v>
      </c>
      <c r="B412" s="8">
        <v>0.2</v>
      </c>
      <c r="C412" s="9">
        <f t="shared" si="6"/>
        <v>-0.69897000433601875</v>
      </c>
      <c r="D412" s="5">
        <v>2</v>
      </c>
      <c r="E412" s="5" t="s">
        <v>1319</v>
      </c>
      <c r="F412" s="5" t="s">
        <v>1396</v>
      </c>
      <c r="G412" s="5" t="s">
        <v>1242</v>
      </c>
      <c r="I412" s="5" t="s">
        <v>1386</v>
      </c>
    </row>
    <row r="413" spans="1:9" x14ac:dyDescent="0.3">
      <c r="A413" s="5" t="s">
        <v>979</v>
      </c>
      <c r="B413" s="8">
        <v>14</v>
      </c>
      <c r="C413" s="9">
        <f t="shared" si="6"/>
        <v>1.146128035678238</v>
      </c>
      <c r="D413" s="5">
        <v>2.4</v>
      </c>
      <c r="E413" s="5">
        <v>22</v>
      </c>
      <c r="F413" s="5" t="s">
        <v>1396</v>
      </c>
      <c r="G413" s="5" t="s">
        <v>1336</v>
      </c>
      <c r="I413" s="5" t="s">
        <v>1386</v>
      </c>
    </row>
    <row r="414" spans="1:9" x14ac:dyDescent="0.3">
      <c r="A414" s="5" t="s">
        <v>981</v>
      </c>
      <c r="B414" s="8">
        <v>14</v>
      </c>
      <c r="C414" s="9">
        <f t="shared" si="6"/>
        <v>1.146128035678238</v>
      </c>
      <c r="D414" s="5">
        <v>2.4</v>
      </c>
      <c r="E414" s="5">
        <v>22</v>
      </c>
      <c r="F414" s="5" t="s">
        <v>1396</v>
      </c>
      <c r="G414" s="5" t="s">
        <v>1337</v>
      </c>
      <c r="I414" s="5" t="s">
        <v>1386</v>
      </c>
    </row>
    <row r="415" spans="1:9" x14ac:dyDescent="0.3">
      <c r="A415" s="5" t="s">
        <v>983</v>
      </c>
      <c r="B415" s="8">
        <v>14</v>
      </c>
      <c r="C415" s="9">
        <f t="shared" si="6"/>
        <v>1.146128035678238</v>
      </c>
      <c r="D415" s="5">
        <v>2</v>
      </c>
      <c r="E415" s="5" t="s">
        <v>1314</v>
      </c>
      <c r="F415" s="5" t="s">
        <v>1396</v>
      </c>
      <c r="G415" s="5" t="s">
        <v>1334</v>
      </c>
      <c r="I415" s="5" t="s">
        <v>1386</v>
      </c>
    </row>
    <row r="416" spans="1:9" x14ac:dyDescent="0.3">
      <c r="A416" s="5" t="s">
        <v>985</v>
      </c>
      <c r="B416" s="8">
        <v>140</v>
      </c>
      <c r="C416" s="9">
        <f t="shared" si="6"/>
        <v>2.1461280356782382</v>
      </c>
      <c r="D416" s="5">
        <v>2</v>
      </c>
      <c r="E416" s="5" t="s">
        <v>1388</v>
      </c>
      <c r="F416" s="5" t="s">
        <v>1396</v>
      </c>
      <c r="G416" s="5" t="s">
        <v>1338</v>
      </c>
      <c r="I416" s="5" t="s">
        <v>1386</v>
      </c>
    </row>
    <row r="417" spans="1:9" x14ac:dyDescent="0.3">
      <c r="A417" s="5" t="s">
        <v>987</v>
      </c>
      <c r="B417" s="8">
        <v>0.9</v>
      </c>
      <c r="C417" s="9">
        <f t="shared" si="6"/>
        <v>-4.5757490560675115E-2</v>
      </c>
      <c r="D417" s="5" t="s">
        <v>1266</v>
      </c>
      <c r="E417" s="5" t="s">
        <v>1314</v>
      </c>
      <c r="F417" s="5" t="s">
        <v>1396</v>
      </c>
      <c r="G417" s="5" t="s">
        <v>1242</v>
      </c>
      <c r="I417" s="5" t="s">
        <v>1386</v>
      </c>
    </row>
    <row r="418" spans="1:9" x14ac:dyDescent="0.3">
      <c r="A418" s="5" t="s">
        <v>989</v>
      </c>
      <c r="B418" s="8">
        <v>7.2</v>
      </c>
      <c r="C418" s="9">
        <f t="shared" si="6"/>
        <v>0.85733249643126852</v>
      </c>
      <c r="D418" s="5" t="s">
        <v>1361</v>
      </c>
      <c r="E418" s="5">
        <v>20</v>
      </c>
      <c r="F418" s="5" t="s">
        <v>1396</v>
      </c>
      <c r="G418" s="5" t="s">
        <v>1339</v>
      </c>
      <c r="I418" s="5" t="s">
        <v>1386</v>
      </c>
    </row>
    <row r="419" spans="1:9" x14ac:dyDescent="0.3">
      <c r="A419" s="5" t="s">
        <v>992</v>
      </c>
      <c r="B419" s="8">
        <v>9.6</v>
      </c>
      <c r="C419" s="9">
        <f t="shared" si="6"/>
        <v>0.98227123303956843</v>
      </c>
      <c r="D419" s="5" t="s">
        <v>1361</v>
      </c>
      <c r="E419" s="5">
        <v>20</v>
      </c>
      <c r="F419" s="5" t="s">
        <v>1396</v>
      </c>
      <c r="G419" s="5" t="s">
        <v>1286</v>
      </c>
      <c r="I419" s="5" t="s">
        <v>1386</v>
      </c>
    </row>
    <row r="420" spans="1:9" x14ac:dyDescent="0.3">
      <c r="A420" s="5" t="s">
        <v>994</v>
      </c>
      <c r="B420" s="8">
        <v>11</v>
      </c>
      <c r="C420" s="9">
        <f t="shared" si="6"/>
        <v>1.0413926851582251</v>
      </c>
      <c r="D420" s="5">
        <v>2</v>
      </c>
      <c r="E420" s="5" t="s">
        <v>1314</v>
      </c>
      <c r="F420" s="5" t="s">
        <v>1396</v>
      </c>
      <c r="G420" s="5" t="s">
        <v>1334</v>
      </c>
      <c r="I420" s="5" t="s">
        <v>1386</v>
      </c>
    </row>
    <row r="421" spans="1:9" x14ac:dyDescent="0.3">
      <c r="A421" s="5" t="s">
        <v>996</v>
      </c>
      <c r="B421" s="8">
        <v>10000</v>
      </c>
      <c r="C421" s="9">
        <f t="shared" si="6"/>
        <v>4</v>
      </c>
      <c r="D421" s="5" t="s">
        <v>1361</v>
      </c>
      <c r="E421" s="5" t="s">
        <v>1260</v>
      </c>
      <c r="F421" s="5" t="s">
        <v>1396</v>
      </c>
      <c r="G421" s="5" t="s">
        <v>1312</v>
      </c>
      <c r="I421" s="5" t="s">
        <v>1386</v>
      </c>
    </row>
    <row r="422" spans="1:9" x14ac:dyDescent="0.3">
      <c r="A422" s="5" t="s">
        <v>999</v>
      </c>
      <c r="B422" s="8">
        <v>1.1000000000000001</v>
      </c>
      <c r="C422" s="9">
        <f t="shared" si="6"/>
        <v>4.1392685158225077E-2</v>
      </c>
      <c r="D422" s="5">
        <v>2</v>
      </c>
      <c r="E422" s="5" t="s">
        <v>1314</v>
      </c>
      <c r="F422" s="5" t="s">
        <v>1396</v>
      </c>
      <c r="G422" s="5" t="s">
        <v>1334</v>
      </c>
      <c r="I422" s="5" t="s">
        <v>1386</v>
      </c>
    </row>
    <row r="423" spans="1:9" ht="16.149999999999999" x14ac:dyDescent="0.3">
      <c r="A423" s="5" t="s">
        <v>1001</v>
      </c>
      <c r="B423" s="8">
        <v>1100</v>
      </c>
      <c r="C423" s="9">
        <f t="shared" si="6"/>
        <v>3.0413926851582249</v>
      </c>
      <c r="D423" s="5">
        <v>5.9</v>
      </c>
      <c r="E423" s="5" t="s">
        <v>1388</v>
      </c>
      <c r="F423" s="5" t="s">
        <v>1400</v>
      </c>
      <c r="G423" s="5" t="s">
        <v>1340</v>
      </c>
      <c r="I423" s="5" t="s">
        <v>1386</v>
      </c>
    </row>
    <row r="424" spans="1:9" x14ac:dyDescent="0.3">
      <c r="A424" s="5" t="s">
        <v>1003</v>
      </c>
      <c r="B424" s="8">
        <v>2200</v>
      </c>
      <c r="C424" s="9">
        <f t="shared" si="6"/>
        <v>3.3424226808222062</v>
      </c>
      <c r="D424" s="5">
        <v>2</v>
      </c>
      <c r="E424" s="5" t="s">
        <v>1314</v>
      </c>
      <c r="F424" s="5" t="s">
        <v>1396</v>
      </c>
      <c r="G424" s="5" t="s">
        <v>1334</v>
      </c>
      <c r="I424" s="5" t="s">
        <v>1386</v>
      </c>
    </row>
    <row r="425" spans="1:9" x14ac:dyDescent="0.3">
      <c r="A425" s="5" t="s">
        <v>1006</v>
      </c>
      <c r="B425" s="8">
        <v>1.2</v>
      </c>
      <c r="C425" s="9">
        <f t="shared" si="6"/>
        <v>7.9181246047624818E-2</v>
      </c>
      <c r="D425" s="5">
        <v>2</v>
      </c>
      <c r="E425" s="5" t="s">
        <v>1314</v>
      </c>
      <c r="F425" s="5" t="s">
        <v>1396</v>
      </c>
      <c r="G425" s="5" t="s">
        <v>1334</v>
      </c>
      <c r="I425" s="5" t="s">
        <v>1386</v>
      </c>
    </row>
    <row r="426" spans="1:9" x14ac:dyDescent="0.3">
      <c r="A426" s="5" t="s">
        <v>1009</v>
      </c>
      <c r="B426" s="8">
        <v>0.05</v>
      </c>
      <c r="C426" s="9">
        <f t="shared" si="6"/>
        <v>-1.3010299956639813</v>
      </c>
      <c r="D426" s="5" t="s">
        <v>1266</v>
      </c>
      <c r="E426" s="5" t="s">
        <v>1314</v>
      </c>
      <c r="F426" s="5" t="s">
        <v>1396</v>
      </c>
      <c r="G426" s="5" t="s">
        <v>1341</v>
      </c>
      <c r="I426" s="5" t="s">
        <v>1386</v>
      </c>
    </row>
    <row r="427" spans="1:9" x14ac:dyDescent="0.3">
      <c r="A427" s="5" t="s">
        <v>1012</v>
      </c>
      <c r="B427" s="8">
        <v>51</v>
      </c>
      <c r="C427" s="9">
        <f t="shared" si="6"/>
        <v>1.7075701760979363</v>
      </c>
      <c r="D427" s="5">
        <v>2</v>
      </c>
      <c r="E427" s="5">
        <v>15</v>
      </c>
      <c r="F427" s="5" t="s">
        <v>1396</v>
      </c>
      <c r="G427" s="5" t="s">
        <v>1342</v>
      </c>
      <c r="I427" s="5" t="s">
        <v>1386</v>
      </c>
    </row>
    <row r="428" spans="1:9" x14ac:dyDescent="0.3">
      <c r="A428" s="5" t="s">
        <v>1014</v>
      </c>
      <c r="B428" s="8">
        <v>14</v>
      </c>
      <c r="C428" s="9">
        <f t="shared" si="6"/>
        <v>1.146128035678238</v>
      </c>
      <c r="D428" s="5">
        <v>1.7</v>
      </c>
      <c r="E428" s="5" t="s">
        <v>1314</v>
      </c>
      <c r="F428" s="5" t="s">
        <v>1396</v>
      </c>
      <c r="G428" s="5" t="s">
        <v>1334</v>
      </c>
      <c r="I428" s="5" t="s">
        <v>1386</v>
      </c>
    </row>
    <row r="429" spans="1:9" x14ac:dyDescent="0.3">
      <c r="A429" s="5" t="s">
        <v>1016</v>
      </c>
      <c r="B429" s="8">
        <v>8</v>
      </c>
      <c r="C429" s="9">
        <f t="shared" si="6"/>
        <v>0.90308998699194354</v>
      </c>
      <c r="D429" s="5">
        <v>2</v>
      </c>
      <c r="E429" s="5" t="s">
        <v>1388</v>
      </c>
      <c r="F429" s="5" t="s">
        <v>1396</v>
      </c>
      <c r="G429" s="5" t="s">
        <v>1338</v>
      </c>
      <c r="I429" s="5" t="s">
        <v>1386</v>
      </c>
    </row>
    <row r="430" spans="1:9" x14ac:dyDescent="0.3">
      <c r="A430" s="5" t="s">
        <v>1018</v>
      </c>
      <c r="B430" s="8">
        <v>0.06</v>
      </c>
      <c r="C430" s="9">
        <f t="shared" si="6"/>
        <v>-1.2218487496163564</v>
      </c>
      <c r="D430" s="5">
        <v>3</v>
      </c>
      <c r="E430" s="5">
        <v>21</v>
      </c>
      <c r="F430" s="5" t="s">
        <v>1396</v>
      </c>
      <c r="G430" s="5" t="s">
        <v>1242</v>
      </c>
      <c r="I430" s="5" t="s">
        <v>1386</v>
      </c>
    </row>
    <row r="431" spans="1:9" x14ac:dyDescent="0.3">
      <c r="A431" s="5" t="s">
        <v>1021</v>
      </c>
      <c r="B431" s="8">
        <v>400</v>
      </c>
      <c r="C431" s="9">
        <f t="shared" si="6"/>
        <v>2.6020599913279625</v>
      </c>
      <c r="D431" s="5">
        <v>2</v>
      </c>
      <c r="E431" s="5" t="s">
        <v>1314</v>
      </c>
      <c r="F431" s="5" t="s">
        <v>1396</v>
      </c>
      <c r="G431" s="5" t="s">
        <v>1334</v>
      </c>
      <c r="I431" s="5" t="s">
        <v>1386</v>
      </c>
    </row>
    <row r="432" spans="1:9" x14ac:dyDescent="0.3">
      <c r="A432" s="5" t="s">
        <v>1024</v>
      </c>
      <c r="B432" s="8">
        <v>700</v>
      </c>
      <c r="C432" s="9">
        <f t="shared" si="6"/>
        <v>2.8450980400142569</v>
      </c>
      <c r="D432" s="5">
        <v>1.7</v>
      </c>
      <c r="E432" s="5" t="s">
        <v>1314</v>
      </c>
      <c r="F432" s="5" t="s">
        <v>1396</v>
      </c>
      <c r="G432" s="5" t="s">
        <v>1334</v>
      </c>
      <c r="I432" s="5" t="s">
        <v>1386</v>
      </c>
    </row>
    <row r="433" spans="1:9" x14ac:dyDescent="0.3">
      <c r="A433" s="5" t="s">
        <v>1027</v>
      </c>
      <c r="B433" s="8">
        <v>94</v>
      </c>
      <c r="C433" s="9">
        <f t="shared" si="6"/>
        <v>1.9731278535996986</v>
      </c>
      <c r="D433" s="5">
        <v>2</v>
      </c>
      <c r="E433" s="5" t="s">
        <v>1314</v>
      </c>
      <c r="F433" s="5" t="s">
        <v>1396</v>
      </c>
      <c r="G433" s="5" t="s">
        <v>1334</v>
      </c>
      <c r="I433" s="5" t="s">
        <v>1386</v>
      </c>
    </row>
    <row r="434" spans="1:9" x14ac:dyDescent="0.3">
      <c r="A434" s="5" t="s">
        <v>1029</v>
      </c>
      <c r="B434" s="8">
        <v>90</v>
      </c>
      <c r="C434" s="9">
        <f t="shared" si="6"/>
        <v>1.954242509439325</v>
      </c>
      <c r="D434" s="5">
        <v>2</v>
      </c>
      <c r="E434" s="5" t="s">
        <v>1314</v>
      </c>
      <c r="F434" s="5" t="s">
        <v>1396</v>
      </c>
      <c r="G434" s="5" t="s">
        <v>1334</v>
      </c>
      <c r="I434" s="5" t="s">
        <v>1386</v>
      </c>
    </row>
    <row r="435" spans="1:9" x14ac:dyDescent="0.3">
      <c r="A435" s="5" t="s">
        <v>1031</v>
      </c>
      <c r="B435" s="8">
        <v>140</v>
      </c>
      <c r="C435" s="9">
        <f t="shared" si="6"/>
        <v>2.1461280356782382</v>
      </c>
      <c r="D435" s="5">
        <v>2</v>
      </c>
      <c r="E435" s="5" t="s">
        <v>1314</v>
      </c>
      <c r="F435" s="5" t="s">
        <v>1396</v>
      </c>
      <c r="G435" s="5" t="s">
        <v>1334</v>
      </c>
      <c r="I435" s="5" t="s">
        <v>1386</v>
      </c>
    </row>
    <row r="436" spans="1:9" x14ac:dyDescent="0.3">
      <c r="A436" s="5" t="s">
        <v>1033</v>
      </c>
      <c r="B436" s="8">
        <v>60</v>
      </c>
      <c r="C436" s="9">
        <f t="shared" si="6"/>
        <v>1.7781512503836436</v>
      </c>
      <c r="D436" s="5" t="s">
        <v>1361</v>
      </c>
      <c r="E436" s="5" t="s">
        <v>1343</v>
      </c>
      <c r="F436" s="5" t="s">
        <v>1396</v>
      </c>
      <c r="G436" s="5" t="s">
        <v>1296</v>
      </c>
      <c r="I436" s="5" t="s">
        <v>1386</v>
      </c>
    </row>
    <row r="437" spans="1:9" x14ac:dyDescent="0.3">
      <c r="A437" s="5" t="s">
        <v>1035</v>
      </c>
      <c r="B437" s="8">
        <v>290</v>
      </c>
      <c r="C437" s="9">
        <f t="shared" si="6"/>
        <v>2.4623979978989561</v>
      </c>
      <c r="D437" s="5">
        <v>2</v>
      </c>
      <c r="E437" s="5" t="s">
        <v>1314</v>
      </c>
      <c r="F437" s="5" t="s">
        <v>1396</v>
      </c>
      <c r="G437" s="5" t="s">
        <v>1334</v>
      </c>
      <c r="I437" s="5" t="s">
        <v>1386</v>
      </c>
    </row>
    <row r="438" spans="1:9" x14ac:dyDescent="0.3">
      <c r="A438" s="5" t="s">
        <v>1038</v>
      </c>
      <c r="B438" s="8">
        <v>110</v>
      </c>
      <c r="C438" s="9">
        <f t="shared" si="6"/>
        <v>2.0413926851582249</v>
      </c>
      <c r="D438" s="5" t="s">
        <v>1361</v>
      </c>
      <c r="E438" s="5" t="s">
        <v>1344</v>
      </c>
      <c r="F438" s="5" t="s">
        <v>1396</v>
      </c>
      <c r="G438" s="5" t="s">
        <v>1296</v>
      </c>
      <c r="I438" s="5" t="s">
        <v>1386</v>
      </c>
    </row>
    <row r="439" spans="1:9" x14ac:dyDescent="0.3">
      <c r="A439" s="5" t="s">
        <v>1040</v>
      </c>
      <c r="B439" s="8">
        <v>590</v>
      </c>
      <c r="C439" s="9">
        <f t="shared" si="6"/>
        <v>2.7708520116421442</v>
      </c>
      <c r="D439" s="5" t="s">
        <v>1361</v>
      </c>
      <c r="E439" s="5">
        <v>20</v>
      </c>
      <c r="F439" s="5" t="s">
        <v>1396</v>
      </c>
      <c r="G439" s="5" t="s">
        <v>1286</v>
      </c>
      <c r="I439" s="5" t="s">
        <v>1386</v>
      </c>
    </row>
    <row r="440" spans="1:9" x14ac:dyDescent="0.3">
      <c r="A440" s="5" t="s">
        <v>1043</v>
      </c>
      <c r="B440" s="8">
        <v>640</v>
      </c>
      <c r="C440" s="9">
        <f t="shared" si="6"/>
        <v>2.8061799739838871</v>
      </c>
      <c r="D440" s="5">
        <v>3.7</v>
      </c>
      <c r="E440" s="5">
        <v>21</v>
      </c>
      <c r="F440" s="5" t="s">
        <v>1396</v>
      </c>
      <c r="G440" s="5" t="s">
        <v>1242</v>
      </c>
      <c r="I440" s="5" t="s">
        <v>1386</v>
      </c>
    </row>
    <row r="441" spans="1:9" x14ac:dyDescent="0.3">
      <c r="A441" s="5" t="s">
        <v>1045</v>
      </c>
      <c r="B441" s="8">
        <v>5.3</v>
      </c>
      <c r="C441" s="9">
        <f t="shared" si="6"/>
        <v>0.72427586960078905</v>
      </c>
      <c r="D441" s="5" t="s">
        <v>1366</v>
      </c>
      <c r="E441" s="5" t="s">
        <v>1319</v>
      </c>
      <c r="F441" s="5" t="s">
        <v>1396</v>
      </c>
      <c r="G441" s="5" t="s">
        <v>1242</v>
      </c>
      <c r="I441" s="5" t="s">
        <v>1386</v>
      </c>
    </row>
    <row r="442" spans="1:9" x14ac:dyDescent="0.3">
      <c r="A442" s="5" t="s">
        <v>1047</v>
      </c>
      <c r="B442" s="8">
        <v>130000</v>
      </c>
      <c r="C442" s="9">
        <f t="shared" si="6"/>
        <v>5.1139433523068369</v>
      </c>
      <c r="D442" s="5">
        <v>9.5</v>
      </c>
      <c r="E442" s="5" t="s">
        <v>1388</v>
      </c>
      <c r="F442" s="5" t="s">
        <v>1397</v>
      </c>
      <c r="G442" s="5" t="s">
        <v>1345</v>
      </c>
      <c r="I442" s="5" t="s">
        <v>1386</v>
      </c>
    </row>
    <row r="443" spans="1:9" x14ac:dyDescent="0.3">
      <c r="A443" s="5" t="s">
        <v>1049</v>
      </c>
      <c r="B443" s="8">
        <v>89000</v>
      </c>
      <c r="C443" s="9">
        <f t="shared" si="6"/>
        <v>4.9493900066449124</v>
      </c>
      <c r="D443" s="5" t="s">
        <v>1388</v>
      </c>
      <c r="E443" s="5" t="s">
        <v>1388</v>
      </c>
      <c r="F443" s="5" t="s">
        <v>1396</v>
      </c>
      <c r="G443" s="5" t="s">
        <v>1346</v>
      </c>
      <c r="I443" s="5" t="s">
        <v>1386</v>
      </c>
    </row>
    <row r="444" spans="1:9" x14ac:dyDescent="0.3">
      <c r="A444" s="5" t="s">
        <v>1051</v>
      </c>
      <c r="B444" s="8">
        <v>20000</v>
      </c>
      <c r="C444" s="9">
        <f t="shared" si="6"/>
        <v>4.3010299956639813</v>
      </c>
      <c r="D444" s="5" t="s">
        <v>1388</v>
      </c>
      <c r="E444" s="5" t="s">
        <v>1388</v>
      </c>
      <c r="F444" s="5" t="s">
        <v>1347</v>
      </c>
      <c r="G444" s="5" t="s">
        <v>1379</v>
      </c>
      <c r="I444" s="5" t="s">
        <v>1386</v>
      </c>
    </row>
    <row r="445" spans="1:9" x14ac:dyDescent="0.3">
      <c r="A445" s="5" t="s">
        <v>1053</v>
      </c>
      <c r="B445" s="8">
        <v>290</v>
      </c>
      <c r="C445" s="9">
        <f t="shared" si="6"/>
        <v>2.4623979978989561</v>
      </c>
      <c r="D445" s="5">
        <v>2</v>
      </c>
      <c r="E445" s="5" t="s">
        <v>1314</v>
      </c>
      <c r="F445" s="5" t="s">
        <v>1396</v>
      </c>
      <c r="G445" s="5" t="s">
        <v>1334</v>
      </c>
      <c r="I445" s="5" t="s">
        <v>1386</v>
      </c>
    </row>
    <row r="446" spans="1:9" x14ac:dyDescent="0.3">
      <c r="A446" s="5" t="s">
        <v>1054</v>
      </c>
      <c r="B446" s="8">
        <v>270</v>
      </c>
      <c r="C446" s="9">
        <f t="shared" si="6"/>
        <v>2.4313637641589874</v>
      </c>
      <c r="D446" s="5" t="s">
        <v>1262</v>
      </c>
      <c r="E446" s="5" t="s">
        <v>1348</v>
      </c>
      <c r="F446" s="5" t="s">
        <v>1396</v>
      </c>
      <c r="G446" s="5" t="s">
        <v>1242</v>
      </c>
      <c r="I446" s="5" t="s">
        <v>1386</v>
      </c>
    </row>
    <row r="447" spans="1:9" x14ac:dyDescent="0.3">
      <c r="A447" s="5" t="s">
        <v>1057</v>
      </c>
      <c r="B447" s="8">
        <v>3600</v>
      </c>
      <c r="C447" s="9">
        <f t="shared" si="6"/>
        <v>3.5563025007672873</v>
      </c>
      <c r="D447" s="5" t="s">
        <v>1361</v>
      </c>
      <c r="E447" s="5" t="s">
        <v>1349</v>
      </c>
      <c r="F447" s="5" t="s">
        <v>1397</v>
      </c>
      <c r="G447" s="5" t="s">
        <v>1296</v>
      </c>
      <c r="I447" s="5" t="s">
        <v>1386</v>
      </c>
    </row>
    <row r="448" spans="1:9" x14ac:dyDescent="0.3">
      <c r="A448" s="5" t="s">
        <v>1060</v>
      </c>
      <c r="B448" s="8">
        <v>11.7</v>
      </c>
      <c r="C448" s="9">
        <f t="shared" si="6"/>
        <v>1.0681858617461617</v>
      </c>
      <c r="D448" s="5" t="s">
        <v>1361</v>
      </c>
      <c r="E448" s="5" t="s">
        <v>1350</v>
      </c>
      <c r="F448" s="5" t="s">
        <v>1396</v>
      </c>
      <c r="G448" s="5" t="s">
        <v>1351</v>
      </c>
      <c r="I448" s="5" t="s">
        <v>1386</v>
      </c>
    </row>
    <row r="449" spans="1:9" x14ac:dyDescent="0.3">
      <c r="A449" s="5" t="s">
        <v>1063</v>
      </c>
      <c r="B449" s="8">
        <v>12.2</v>
      </c>
      <c r="C449" s="9">
        <f t="shared" si="6"/>
        <v>1.0863598306747482</v>
      </c>
      <c r="D449" s="5" t="s">
        <v>1361</v>
      </c>
      <c r="E449" s="5" t="s">
        <v>1350</v>
      </c>
      <c r="F449" s="5" t="s">
        <v>1396</v>
      </c>
      <c r="G449" s="5" t="s">
        <v>1351</v>
      </c>
      <c r="I449" s="5" t="s">
        <v>1386</v>
      </c>
    </row>
    <row r="450" spans="1:9" x14ac:dyDescent="0.3">
      <c r="A450" s="5" t="s">
        <v>1066</v>
      </c>
      <c r="B450" s="8">
        <v>330</v>
      </c>
      <c r="C450" s="9">
        <f t="shared" si="6"/>
        <v>2.5185139398778875</v>
      </c>
      <c r="D450" s="5" t="s">
        <v>1361</v>
      </c>
      <c r="E450" s="5" t="s">
        <v>1352</v>
      </c>
      <c r="F450" s="5" t="s">
        <v>1396</v>
      </c>
      <c r="G450" s="5" t="s">
        <v>1296</v>
      </c>
      <c r="I450" s="5" t="s">
        <v>1386</v>
      </c>
    </row>
    <row r="451" spans="1:9" x14ac:dyDescent="0.3">
      <c r="A451" s="5" t="s">
        <v>1068</v>
      </c>
      <c r="B451" s="8">
        <v>200000</v>
      </c>
      <c r="C451" s="9">
        <f t="shared" ref="C451:C514" si="7">LOG10(B451)</f>
        <v>5.3010299956639813</v>
      </c>
      <c r="D451" s="5" t="s">
        <v>1361</v>
      </c>
      <c r="E451" s="5" t="s">
        <v>1259</v>
      </c>
      <c r="F451" s="5" t="s">
        <v>1259</v>
      </c>
      <c r="G451" s="5" t="s">
        <v>1335</v>
      </c>
      <c r="I451" s="5" t="s">
        <v>1386</v>
      </c>
    </row>
    <row r="452" spans="1:9" x14ac:dyDescent="0.3">
      <c r="A452" s="5" t="s">
        <v>1071</v>
      </c>
      <c r="B452" s="8">
        <v>320</v>
      </c>
      <c r="C452" s="9">
        <f t="shared" si="7"/>
        <v>2.5051499783199058</v>
      </c>
      <c r="D452" s="5">
        <v>7</v>
      </c>
      <c r="E452" s="5" t="s">
        <v>1353</v>
      </c>
      <c r="F452" s="5" t="s">
        <v>1396</v>
      </c>
      <c r="G452" s="5" t="s">
        <v>1296</v>
      </c>
      <c r="I452" s="5" t="s">
        <v>1386</v>
      </c>
    </row>
    <row r="453" spans="1:9" x14ac:dyDescent="0.3">
      <c r="A453" s="5" t="s">
        <v>1074</v>
      </c>
      <c r="B453" s="8">
        <v>100000</v>
      </c>
      <c r="C453" s="9">
        <f t="shared" si="7"/>
        <v>5</v>
      </c>
      <c r="D453" s="5" t="s">
        <v>1361</v>
      </c>
      <c r="E453" s="5" t="s">
        <v>1354</v>
      </c>
      <c r="F453" s="5" t="s">
        <v>1397</v>
      </c>
      <c r="G453" s="5" t="s">
        <v>1296</v>
      </c>
      <c r="I453" s="5" t="s">
        <v>1386</v>
      </c>
    </row>
    <row r="454" spans="1:9" x14ac:dyDescent="0.3">
      <c r="A454" s="5" t="s">
        <v>1077</v>
      </c>
      <c r="B454" s="8">
        <v>0.02</v>
      </c>
      <c r="C454" s="9">
        <f t="shared" si="7"/>
        <v>-1.6989700043360187</v>
      </c>
      <c r="D454" s="5">
        <v>2</v>
      </c>
      <c r="E454" s="5" t="s">
        <v>1267</v>
      </c>
      <c r="F454" s="5" t="s">
        <v>1396</v>
      </c>
      <c r="G454" s="5" t="s">
        <v>1258</v>
      </c>
      <c r="I454" s="5" t="s">
        <v>1386</v>
      </c>
    </row>
    <row r="455" spans="1:9" x14ac:dyDescent="0.3">
      <c r="A455" s="5" t="s">
        <v>1079</v>
      </c>
      <c r="B455" s="8">
        <v>0.06</v>
      </c>
      <c r="C455" s="9">
        <f t="shared" si="7"/>
        <v>-1.2218487496163564</v>
      </c>
      <c r="D455" s="5">
        <v>2</v>
      </c>
      <c r="E455" s="5" t="s">
        <v>1267</v>
      </c>
      <c r="F455" s="5" t="s">
        <v>1396</v>
      </c>
      <c r="G455" s="5" t="s">
        <v>1258</v>
      </c>
      <c r="I455" s="5" t="s">
        <v>1386</v>
      </c>
    </row>
    <row r="456" spans="1:9" x14ac:dyDescent="0.3">
      <c r="A456" s="5" t="s">
        <v>1081</v>
      </c>
      <c r="B456" s="8">
        <v>940000</v>
      </c>
      <c r="C456" s="9">
        <f t="shared" si="7"/>
        <v>5.9731278535996983</v>
      </c>
      <c r="D456" s="5">
        <v>9.5</v>
      </c>
      <c r="E456" s="5" t="s">
        <v>1388</v>
      </c>
      <c r="F456" s="5" t="s">
        <v>1397</v>
      </c>
      <c r="G456" s="5" t="s">
        <v>1345</v>
      </c>
      <c r="I456" s="5" t="s">
        <v>1386</v>
      </c>
    </row>
    <row r="457" spans="1:9" x14ac:dyDescent="0.3">
      <c r="A457" s="5" t="s">
        <v>1083</v>
      </c>
      <c r="B457" s="8">
        <v>280000</v>
      </c>
      <c r="C457" s="9">
        <f t="shared" si="7"/>
        <v>5.4471580313422194</v>
      </c>
      <c r="D457" s="5" t="s">
        <v>1388</v>
      </c>
      <c r="E457" s="5" t="s">
        <v>1308</v>
      </c>
      <c r="F457" s="5" t="s">
        <v>1397</v>
      </c>
      <c r="G457" s="5" t="s">
        <v>1279</v>
      </c>
      <c r="I457" s="5" t="s">
        <v>1386</v>
      </c>
    </row>
    <row r="458" spans="1:9" x14ac:dyDescent="0.3">
      <c r="A458" s="5" t="s">
        <v>1085</v>
      </c>
      <c r="B458" s="8">
        <v>77000</v>
      </c>
      <c r="C458" s="9">
        <f t="shared" si="7"/>
        <v>4.8864907251724823</v>
      </c>
      <c r="D458" s="5" t="s">
        <v>1361</v>
      </c>
      <c r="E458" s="5" t="s">
        <v>1306</v>
      </c>
      <c r="F458" s="5" t="s">
        <v>1397</v>
      </c>
      <c r="G458" s="5" t="s">
        <v>1307</v>
      </c>
      <c r="I458" s="5" t="s">
        <v>1386</v>
      </c>
    </row>
    <row r="459" spans="1:9" x14ac:dyDescent="0.3">
      <c r="A459" s="5" t="s">
        <v>1087</v>
      </c>
      <c r="B459" s="8">
        <v>74000</v>
      </c>
      <c r="C459" s="9">
        <f t="shared" si="7"/>
        <v>4.8692317197309762</v>
      </c>
      <c r="D459" s="5" t="s">
        <v>1361</v>
      </c>
      <c r="E459" s="5" t="s">
        <v>1308</v>
      </c>
      <c r="F459" s="5" t="s">
        <v>1397</v>
      </c>
      <c r="G459" s="5" t="s">
        <v>1279</v>
      </c>
      <c r="I459" s="5" t="s">
        <v>1386</v>
      </c>
    </row>
    <row r="460" spans="1:9" x14ac:dyDescent="0.3">
      <c r="A460" s="5" t="s">
        <v>1089</v>
      </c>
      <c r="B460" s="8">
        <v>33000</v>
      </c>
      <c r="C460" s="9">
        <f t="shared" si="7"/>
        <v>4.5185139398778871</v>
      </c>
      <c r="D460" s="5" t="s">
        <v>1361</v>
      </c>
      <c r="E460" s="5" t="s">
        <v>1308</v>
      </c>
      <c r="F460" s="5" t="s">
        <v>1397</v>
      </c>
      <c r="G460" s="5" t="s">
        <v>1279</v>
      </c>
      <c r="I460" s="5" t="s">
        <v>1386</v>
      </c>
    </row>
    <row r="461" spans="1:9" x14ac:dyDescent="0.3">
      <c r="A461" s="5" t="s">
        <v>1091</v>
      </c>
      <c r="B461" s="8">
        <v>2400000</v>
      </c>
      <c r="C461" s="9">
        <f t="shared" si="7"/>
        <v>6.3802112417116064</v>
      </c>
      <c r="D461" s="5" t="s">
        <v>1361</v>
      </c>
      <c r="E461" s="5" t="s">
        <v>1363</v>
      </c>
      <c r="F461" s="5" t="s">
        <v>1396</v>
      </c>
      <c r="G461" s="5" t="s">
        <v>1268</v>
      </c>
      <c r="I461" s="5" t="s">
        <v>1386</v>
      </c>
    </row>
    <row r="462" spans="1:9" x14ac:dyDescent="0.3">
      <c r="A462" s="5" t="s">
        <v>1094</v>
      </c>
      <c r="B462" s="8">
        <v>42000</v>
      </c>
      <c r="C462" s="9">
        <f t="shared" si="7"/>
        <v>4.6232492903979008</v>
      </c>
      <c r="D462" s="5" t="s">
        <v>1361</v>
      </c>
      <c r="E462" s="5" t="s">
        <v>1363</v>
      </c>
      <c r="F462" s="5" t="s">
        <v>1396</v>
      </c>
      <c r="G462" s="5" t="s">
        <v>1268</v>
      </c>
      <c r="I462" s="5" t="s">
        <v>1386</v>
      </c>
    </row>
    <row r="463" spans="1:9" x14ac:dyDescent="0.3">
      <c r="A463" s="5" t="s">
        <v>1096</v>
      </c>
      <c r="B463" s="8">
        <v>4000000</v>
      </c>
      <c r="C463" s="9">
        <f t="shared" si="7"/>
        <v>6.6020599913279625</v>
      </c>
      <c r="D463" s="5" t="s">
        <v>1361</v>
      </c>
      <c r="E463" s="5" t="s">
        <v>1363</v>
      </c>
      <c r="F463" s="5" t="s">
        <v>1396</v>
      </c>
      <c r="G463" s="5" t="s">
        <v>1268</v>
      </c>
      <c r="I463" s="5" t="s">
        <v>1386</v>
      </c>
    </row>
    <row r="464" spans="1:9" x14ac:dyDescent="0.3">
      <c r="A464" s="5" t="s">
        <v>1099</v>
      </c>
      <c r="B464" s="8">
        <v>20000</v>
      </c>
      <c r="C464" s="9">
        <f t="shared" si="7"/>
        <v>4.3010299956639813</v>
      </c>
      <c r="D464" s="5" t="s">
        <v>1361</v>
      </c>
      <c r="E464" s="5" t="s">
        <v>1363</v>
      </c>
      <c r="F464" s="5" t="s">
        <v>1396</v>
      </c>
      <c r="G464" s="5" t="s">
        <v>1268</v>
      </c>
      <c r="I464" s="5" t="s">
        <v>1386</v>
      </c>
    </row>
    <row r="465" spans="1:9" x14ac:dyDescent="0.3">
      <c r="A465" s="5" t="s">
        <v>1101</v>
      </c>
      <c r="B465" s="8">
        <v>330000</v>
      </c>
      <c r="C465" s="9">
        <f t="shared" si="7"/>
        <v>5.5185139398778871</v>
      </c>
      <c r="D465" s="5" t="s">
        <v>1361</v>
      </c>
      <c r="E465" s="5" t="s">
        <v>1308</v>
      </c>
      <c r="F465" s="5" t="s">
        <v>1397</v>
      </c>
      <c r="G465" s="5" t="s">
        <v>1279</v>
      </c>
      <c r="I465" s="5" t="s">
        <v>1386</v>
      </c>
    </row>
    <row r="466" spans="1:9" x14ac:dyDescent="0.3">
      <c r="A466" s="5" t="s">
        <v>1103</v>
      </c>
      <c r="B466" s="8">
        <v>4000000</v>
      </c>
      <c r="C466" s="9">
        <f t="shared" si="7"/>
        <v>6.6020599913279625</v>
      </c>
      <c r="D466" s="5" t="s">
        <v>1361</v>
      </c>
      <c r="E466" s="5" t="s">
        <v>1363</v>
      </c>
      <c r="F466" s="5" t="s">
        <v>1396</v>
      </c>
      <c r="G466" s="5" t="s">
        <v>1268</v>
      </c>
      <c r="I466" s="5" t="s">
        <v>1386</v>
      </c>
    </row>
    <row r="467" spans="1:9" x14ac:dyDescent="0.3">
      <c r="A467" s="5" t="s">
        <v>1106</v>
      </c>
      <c r="B467" s="8">
        <v>500</v>
      </c>
      <c r="C467" s="9">
        <f t="shared" si="7"/>
        <v>2.6989700043360187</v>
      </c>
      <c r="D467" s="5" t="s">
        <v>1361</v>
      </c>
      <c r="E467" s="5">
        <v>22</v>
      </c>
      <c r="F467" s="5" t="s">
        <v>1396</v>
      </c>
      <c r="G467" s="5" t="s">
        <v>1337</v>
      </c>
      <c r="I467" s="5" t="s">
        <v>1386</v>
      </c>
    </row>
    <row r="468" spans="1:9" x14ac:dyDescent="0.3">
      <c r="A468" s="5" t="s">
        <v>1109</v>
      </c>
      <c r="B468" s="8">
        <v>4800</v>
      </c>
      <c r="C468" s="9">
        <f t="shared" si="7"/>
        <v>3.6812412373755872</v>
      </c>
      <c r="D468" s="5" t="s">
        <v>1361</v>
      </c>
      <c r="E468" s="5" t="s">
        <v>1308</v>
      </c>
      <c r="F468" s="5" t="s">
        <v>1396</v>
      </c>
      <c r="G468" s="5" t="s">
        <v>1279</v>
      </c>
      <c r="I468" s="5" t="s">
        <v>1386</v>
      </c>
    </row>
    <row r="469" spans="1:9" x14ac:dyDescent="0.3">
      <c r="A469" s="5" t="s">
        <v>1112</v>
      </c>
      <c r="B469" s="8">
        <v>4800</v>
      </c>
      <c r="C469" s="9">
        <f t="shared" si="7"/>
        <v>3.6812412373755872</v>
      </c>
      <c r="D469" s="5" t="s">
        <v>1361</v>
      </c>
      <c r="E469" s="5" t="s">
        <v>1308</v>
      </c>
      <c r="F469" s="5" t="s">
        <v>1396</v>
      </c>
      <c r="G469" s="5" t="s">
        <v>1279</v>
      </c>
      <c r="I469" s="5" t="s">
        <v>1386</v>
      </c>
    </row>
    <row r="470" spans="1:9" x14ac:dyDescent="0.3">
      <c r="A470" s="5" t="s">
        <v>1114</v>
      </c>
      <c r="B470" s="8">
        <v>620</v>
      </c>
      <c r="C470" s="9">
        <f t="shared" si="7"/>
        <v>2.7923916894982539</v>
      </c>
      <c r="D470" s="5" t="s">
        <v>1361</v>
      </c>
      <c r="E470" s="5" t="s">
        <v>1348</v>
      </c>
      <c r="F470" s="5" t="s">
        <v>1396</v>
      </c>
      <c r="G470" s="5" t="s">
        <v>1242</v>
      </c>
      <c r="I470" s="5" t="s">
        <v>1386</v>
      </c>
    </row>
    <row r="471" spans="1:9" x14ac:dyDescent="0.3">
      <c r="A471" s="5" t="s">
        <v>1117</v>
      </c>
      <c r="B471" s="8">
        <v>210000</v>
      </c>
      <c r="C471" s="9">
        <f t="shared" si="7"/>
        <v>5.3222192947339195</v>
      </c>
      <c r="D471" s="5" t="s">
        <v>1388</v>
      </c>
      <c r="E471" s="5" t="s">
        <v>1388</v>
      </c>
      <c r="F471" s="5" t="s">
        <v>1397</v>
      </c>
      <c r="G471" s="5" t="s">
        <v>1355</v>
      </c>
      <c r="I471" s="5" t="s">
        <v>1386</v>
      </c>
    </row>
    <row r="472" spans="1:9" x14ac:dyDescent="0.3">
      <c r="A472" s="5" t="s">
        <v>1120</v>
      </c>
      <c r="B472" s="8">
        <v>170000</v>
      </c>
      <c r="C472" s="9">
        <f t="shared" si="7"/>
        <v>5.2304489213782741</v>
      </c>
      <c r="D472" s="5" t="s">
        <v>1388</v>
      </c>
      <c r="E472" s="5" t="s">
        <v>1388</v>
      </c>
      <c r="F472" s="5" t="s">
        <v>1397</v>
      </c>
      <c r="G472" s="5" t="s">
        <v>1355</v>
      </c>
      <c r="I472" s="5" t="s">
        <v>1386</v>
      </c>
    </row>
    <row r="473" spans="1:9" x14ac:dyDescent="0.3">
      <c r="A473" s="5" t="s">
        <v>1122</v>
      </c>
      <c r="B473" s="8">
        <v>8</v>
      </c>
      <c r="C473" s="9">
        <f t="shared" si="7"/>
        <v>0.90308998699194354</v>
      </c>
      <c r="D473" s="5">
        <v>2.2999999999999998</v>
      </c>
      <c r="E473" s="5" t="s">
        <v>1363</v>
      </c>
      <c r="F473" s="5" t="s">
        <v>1396</v>
      </c>
      <c r="G473" s="5" t="s">
        <v>1268</v>
      </c>
      <c r="I473" s="5" t="s">
        <v>1386</v>
      </c>
    </row>
    <row r="474" spans="1:9" x14ac:dyDescent="0.3">
      <c r="A474" s="5" t="s">
        <v>1124</v>
      </c>
      <c r="B474" s="8">
        <v>94</v>
      </c>
      <c r="C474" s="9">
        <f t="shared" si="7"/>
        <v>1.9731278535996986</v>
      </c>
      <c r="D474" s="5" t="s">
        <v>1361</v>
      </c>
      <c r="E474" s="5" t="s">
        <v>1363</v>
      </c>
      <c r="F474" s="5" t="s">
        <v>1396</v>
      </c>
      <c r="G474" s="5" t="s">
        <v>1268</v>
      </c>
      <c r="I474" s="5" t="s">
        <v>1386</v>
      </c>
    </row>
    <row r="475" spans="1:9" x14ac:dyDescent="0.3">
      <c r="A475" s="5" t="s">
        <v>1126</v>
      </c>
      <c r="B475" s="8">
        <v>3.0000000000000001E-5</v>
      </c>
      <c r="C475" s="9">
        <f t="shared" si="7"/>
        <v>-4.5228787452803374</v>
      </c>
      <c r="D475" s="5" t="s">
        <v>1361</v>
      </c>
      <c r="E475" s="5" t="s">
        <v>1278</v>
      </c>
      <c r="F475" s="5" t="s">
        <v>1396</v>
      </c>
      <c r="G475" s="5" t="s">
        <v>1263</v>
      </c>
      <c r="I475" s="5" t="s">
        <v>1386</v>
      </c>
    </row>
    <row r="476" spans="1:9" x14ac:dyDescent="0.3">
      <c r="A476" s="5" t="s">
        <v>1129</v>
      </c>
      <c r="B476" s="8">
        <v>3.0000000000000001E-5</v>
      </c>
      <c r="C476" s="9">
        <f t="shared" si="7"/>
        <v>-4.5228787452803374</v>
      </c>
      <c r="D476" s="5" t="s">
        <v>1361</v>
      </c>
      <c r="E476" s="5" t="s">
        <v>1278</v>
      </c>
      <c r="F476" s="5" t="s">
        <v>1396</v>
      </c>
      <c r="G476" s="5" t="s">
        <v>1263</v>
      </c>
      <c r="H476" s="10">
        <v>1.0444824558470549</v>
      </c>
      <c r="I476" s="5" t="s">
        <v>1386</v>
      </c>
    </row>
    <row r="477" spans="1:9" x14ac:dyDescent="0.3">
      <c r="A477" s="5" t="s">
        <v>1129</v>
      </c>
      <c r="B477" s="8">
        <v>9.9999999999999995E-7</v>
      </c>
      <c r="C477" s="9">
        <f t="shared" si="7"/>
        <v>-6</v>
      </c>
      <c r="D477" s="5" t="s">
        <v>1361</v>
      </c>
      <c r="E477" s="5" t="s">
        <v>1388</v>
      </c>
      <c r="F477" s="5" t="s">
        <v>1396</v>
      </c>
      <c r="G477" s="5" t="s">
        <v>1356</v>
      </c>
      <c r="H477" s="10">
        <v>1.0444824558470549</v>
      </c>
      <c r="I477" s="5" t="s">
        <v>1383</v>
      </c>
    </row>
    <row r="478" spans="1:9" x14ac:dyDescent="0.3">
      <c r="A478" s="5" t="s">
        <v>1131</v>
      </c>
      <c r="B478" s="8">
        <v>3.2000000000000001E-2</v>
      </c>
      <c r="C478" s="9">
        <f t="shared" si="7"/>
        <v>-1.494850021680094</v>
      </c>
      <c r="D478" s="5" t="s">
        <v>1388</v>
      </c>
      <c r="E478" s="5" t="s">
        <v>1278</v>
      </c>
      <c r="F478" s="5" t="s">
        <v>1396</v>
      </c>
      <c r="G478" s="5" t="s">
        <v>1246</v>
      </c>
      <c r="I478" s="5" t="s">
        <v>1386</v>
      </c>
    </row>
    <row r="479" spans="1:9" x14ac:dyDescent="0.3">
      <c r="A479" s="5" t="s">
        <v>1133</v>
      </c>
      <c r="B479" s="8">
        <v>0.02</v>
      </c>
      <c r="C479" s="9">
        <f t="shared" si="7"/>
        <v>-1.6989700043360187</v>
      </c>
      <c r="D479" s="5" t="s">
        <v>1388</v>
      </c>
      <c r="E479" s="5" t="s">
        <v>1314</v>
      </c>
      <c r="F479" s="5" t="s">
        <v>1396</v>
      </c>
      <c r="G479" s="5" t="s">
        <v>1246</v>
      </c>
      <c r="I479" s="5" t="s">
        <v>1386</v>
      </c>
    </row>
    <row r="480" spans="1:9" x14ac:dyDescent="0.3">
      <c r="A480" s="5" t="s">
        <v>1135</v>
      </c>
      <c r="B480" s="8">
        <v>0.6</v>
      </c>
      <c r="C480" s="9">
        <f t="shared" si="7"/>
        <v>-0.22184874961635639</v>
      </c>
      <c r="D480" s="5">
        <v>2.1</v>
      </c>
      <c r="E480" s="5" t="s">
        <v>1363</v>
      </c>
      <c r="F480" s="5" t="s">
        <v>1396</v>
      </c>
      <c r="G480" s="5" t="s">
        <v>1268</v>
      </c>
      <c r="I480" s="5" t="s">
        <v>1386</v>
      </c>
    </row>
    <row r="481" spans="1:9" x14ac:dyDescent="0.3">
      <c r="A481" s="5" t="s">
        <v>1137</v>
      </c>
      <c r="B481" s="8">
        <v>0.7</v>
      </c>
      <c r="C481" s="9">
        <f t="shared" si="7"/>
        <v>-0.15490195998574319</v>
      </c>
      <c r="D481" s="5" t="s">
        <v>1388</v>
      </c>
      <c r="E481" s="5" t="s">
        <v>1278</v>
      </c>
      <c r="F481" s="5" t="s">
        <v>1396</v>
      </c>
      <c r="G481" s="5" t="s">
        <v>1246</v>
      </c>
      <c r="I481" s="5" t="s">
        <v>1386</v>
      </c>
    </row>
    <row r="482" spans="1:9" x14ac:dyDescent="0.3">
      <c r="A482" s="5" t="s">
        <v>1139</v>
      </c>
      <c r="B482" s="8">
        <v>6.0000000000000001E-3</v>
      </c>
      <c r="C482" s="9">
        <f t="shared" si="7"/>
        <v>-2.2218487496163561</v>
      </c>
      <c r="D482" s="5" t="s">
        <v>1361</v>
      </c>
      <c r="E482" s="5" t="s">
        <v>1278</v>
      </c>
      <c r="F482" s="5" t="s">
        <v>1396</v>
      </c>
      <c r="G482" s="5" t="s">
        <v>1263</v>
      </c>
      <c r="I482" s="5" t="s">
        <v>1386</v>
      </c>
    </row>
    <row r="483" spans="1:9" x14ac:dyDescent="0.3">
      <c r="A483" s="5" t="s">
        <v>1142</v>
      </c>
      <c r="B483" s="8">
        <v>6.0000000000000001E-3</v>
      </c>
      <c r="C483" s="9">
        <f t="shared" si="7"/>
        <v>-2.2218487496163561</v>
      </c>
      <c r="D483" s="5" t="s">
        <v>1361</v>
      </c>
      <c r="E483" s="5" t="s">
        <v>1278</v>
      </c>
      <c r="F483" s="5" t="s">
        <v>1396</v>
      </c>
      <c r="G483" s="5" t="s">
        <v>1263</v>
      </c>
      <c r="I483" s="5" t="s">
        <v>1386</v>
      </c>
    </row>
    <row r="484" spans="1:9" x14ac:dyDescent="0.3">
      <c r="A484" s="5" t="s">
        <v>1144</v>
      </c>
      <c r="B484" s="8">
        <v>5.0000000000000001E-3</v>
      </c>
      <c r="C484" s="9">
        <f t="shared" si="7"/>
        <v>-2.3010299956639813</v>
      </c>
      <c r="D484" s="5" t="s">
        <v>1388</v>
      </c>
      <c r="E484" s="5" t="s">
        <v>1278</v>
      </c>
      <c r="F484" s="5" t="s">
        <v>1396</v>
      </c>
      <c r="G484" s="5" t="s">
        <v>1246</v>
      </c>
      <c r="I484" s="5" t="s">
        <v>1386</v>
      </c>
    </row>
    <row r="485" spans="1:9" x14ac:dyDescent="0.3">
      <c r="A485" s="5" t="s">
        <v>1147</v>
      </c>
      <c r="B485" s="8">
        <v>0.1</v>
      </c>
      <c r="C485" s="9">
        <f t="shared" si="7"/>
        <v>-1</v>
      </c>
      <c r="D485" s="5" t="s">
        <v>1388</v>
      </c>
      <c r="E485" s="5" t="s">
        <v>1278</v>
      </c>
      <c r="F485" s="5" t="s">
        <v>1396</v>
      </c>
      <c r="G485" s="5" t="s">
        <v>1246</v>
      </c>
      <c r="I485" s="5" t="s">
        <v>1386</v>
      </c>
    </row>
    <row r="486" spans="1:9" x14ac:dyDescent="0.3">
      <c r="A486" s="5" t="s">
        <v>1149</v>
      </c>
      <c r="B486" s="8">
        <v>2</v>
      </c>
      <c r="C486" s="9">
        <f t="shared" si="7"/>
        <v>0.3010299956639812</v>
      </c>
      <c r="D486" s="5" t="s">
        <v>1388</v>
      </c>
      <c r="E486" s="5" t="s">
        <v>1278</v>
      </c>
      <c r="F486" s="5" t="s">
        <v>1396</v>
      </c>
      <c r="G486" s="5" t="s">
        <v>1246</v>
      </c>
      <c r="I486" s="5" t="s">
        <v>1386</v>
      </c>
    </row>
    <row r="487" spans="1:9" x14ac:dyDescent="0.3">
      <c r="A487" s="5" t="s">
        <v>1151</v>
      </c>
      <c r="B487" s="8">
        <v>0.1</v>
      </c>
      <c r="C487" s="9">
        <f t="shared" si="7"/>
        <v>-1</v>
      </c>
      <c r="D487" s="5" t="s">
        <v>1388</v>
      </c>
      <c r="E487" s="5" t="s">
        <v>1278</v>
      </c>
      <c r="F487" s="5" t="s">
        <v>1396</v>
      </c>
      <c r="G487" s="5" t="s">
        <v>1246</v>
      </c>
      <c r="I487" s="5" t="s">
        <v>1386</v>
      </c>
    </row>
    <row r="488" spans="1:9" x14ac:dyDescent="0.3">
      <c r="A488" s="5" t="s">
        <v>1153</v>
      </c>
      <c r="B488" s="8">
        <v>1.1000000000000001</v>
      </c>
      <c r="C488" s="9">
        <f t="shared" si="7"/>
        <v>4.1392685158225077E-2</v>
      </c>
      <c r="D488" s="5" t="s">
        <v>1388</v>
      </c>
      <c r="E488" s="5" t="s">
        <v>1278</v>
      </c>
      <c r="F488" s="5" t="s">
        <v>1396</v>
      </c>
      <c r="G488" s="5" t="s">
        <v>1246</v>
      </c>
      <c r="I488" s="5" t="s">
        <v>1386</v>
      </c>
    </row>
    <row r="489" spans="1:9" x14ac:dyDescent="0.3">
      <c r="A489" s="5" t="s">
        <v>1156</v>
      </c>
      <c r="B489" s="8">
        <v>0.06</v>
      </c>
      <c r="C489" s="9">
        <f t="shared" si="7"/>
        <v>-1.2218487496163564</v>
      </c>
      <c r="D489" s="5" t="s">
        <v>1388</v>
      </c>
      <c r="E489" s="5" t="s">
        <v>1278</v>
      </c>
      <c r="F489" s="5" t="s">
        <v>1396</v>
      </c>
      <c r="G489" s="5" t="s">
        <v>1246</v>
      </c>
      <c r="I489" s="5" t="s">
        <v>1386</v>
      </c>
    </row>
    <row r="490" spans="1:9" x14ac:dyDescent="0.3">
      <c r="A490" s="5" t="s">
        <v>1159</v>
      </c>
      <c r="B490" s="8">
        <v>0.32</v>
      </c>
      <c r="C490" s="9">
        <f t="shared" si="7"/>
        <v>-0.49485002168009401</v>
      </c>
      <c r="D490" s="5" t="s">
        <v>1388</v>
      </c>
      <c r="E490" s="5" t="s">
        <v>1278</v>
      </c>
      <c r="F490" s="5" t="s">
        <v>1396</v>
      </c>
      <c r="G490" s="5" t="s">
        <v>1246</v>
      </c>
      <c r="I490" s="5" t="s">
        <v>1386</v>
      </c>
    </row>
    <row r="491" spans="1:9" x14ac:dyDescent="0.3">
      <c r="A491" s="5" t="s">
        <v>1161</v>
      </c>
      <c r="B491" s="8">
        <v>0.45</v>
      </c>
      <c r="C491" s="9">
        <f t="shared" si="7"/>
        <v>-0.34678748622465633</v>
      </c>
      <c r="D491" s="5">
        <v>2.1</v>
      </c>
      <c r="E491" s="5" t="s">
        <v>1363</v>
      </c>
      <c r="F491" s="5" t="s">
        <v>1396</v>
      </c>
      <c r="G491" s="5" t="s">
        <v>1268</v>
      </c>
      <c r="H491" s="10">
        <v>6.0111705876797122E-2</v>
      </c>
      <c r="I491" s="5" t="s">
        <v>1386</v>
      </c>
    </row>
    <row r="492" spans="1:9" x14ac:dyDescent="0.3">
      <c r="A492" s="5" t="s">
        <v>1161</v>
      </c>
      <c r="B492" s="8">
        <v>0.37</v>
      </c>
      <c r="C492" s="9">
        <f t="shared" si="7"/>
        <v>-0.43179827593300502</v>
      </c>
      <c r="D492" s="5" t="s">
        <v>1388</v>
      </c>
      <c r="E492" s="5" t="s">
        <v>1278</v>
      </c>
      <c r="F492" s="5" t="s">
        <v>1396</v>
      </c>
      <c r="G492" s="5" t="s">
        <v>1246</v>
      </c>
      <c r="H492" s="10">
        <v>6.0111705876797122E-2</v>
      </c>
      <c r="I492" s="5" t="s">
        <v>1386</v>
      </c>
    </row>
    <row r="493" spans="1:9" x14ac:dyDescent="0.3">
      <c r="A493" s="5" t="s">
        <v>1164</v>
      </c>
      <c r="B493" s="8">
        <v>0.1</v>
      </c>
      <c r="C493" s="9">
        <f t="shared" si="7"/>
        <v>-1</v>
      </c>
      <c r="D493" s="5" t="s">
        <v>1388</v>
      </c>
      <c r="E493" s="5" t="s">
        <v>1278</v>
      </c>
      <c r="F493" s="5" t="s">
        <v>1396</v>
      </c>
      <c r="G493" s="5" t="s">
        <v>1246</v>
      </c>
      <c r="I493" s="5" t="s">
        <v>1386</v>
      </c>
    </row>
    <row r="494" spans="1:9" x14ac:dyDescent="0.3">
      <c r="A494" s="5" t="s">
        <v>1167</v>
      </c>
      <c r="B494" s="8">
        <v>46</v>
      </c>
      <c r="C494" s="9">
        <f t="shared" si="7"/>
        <v>1.6627578316815741</v>
      </c>
      <c r="D494" s="5" t="s">
        <v>1361</v>
      </c>
      <c r="E494" s="5">
        <v>20</v>
      </c>
      <c r="F494" s="5" t="s">
        <v>1396</v>
      </c>
      <c r="G494" s="5" t="s">
        <v>1357</v>
      </c>
      <c r="I494" s="5" t="s">
        <v>1386</v>
      </c>
    </row>
    <row r="495" spans="1:9" x14ac:dyDescent="0.3">
      <c r="A495" s="5" t="s">
        <v>1170</v>
      </c>
      <c r="B495" s="8">
        <v>0.1</v>
      </c>
      <c r="C495" s="9">
        <f t="shared" si="7"/>
        <v>-1</v>
      </c>
      <c r="D495" s="5">
        <v>2</v>
      </c>
      <c r="E495" s="5" t="s">
        <v>1267</v>
      </c>
      <c r="F495" s="5" t="s">
        <v>1396</v>
      </c>
      <c r="G495" s="5" t="s">
        <v>1258</v>
      </c>
      <c r="I495" s="5" t="s">
        <v>1386</v>
      </c>
    </row>
    <row r="496" spans="1:9" x14ac:dyDescent="0.3">
      <c r="A496" s="5" t="s">
        <v>1172</v>
      </c>
      <c r="B496" s="8">
        <v>8.0000000000000002E-3</v>
      </c>
      <c r="C496" s="9">
        <f t="shared" si="7"/>
        <v>-2.0969100130080562</v>
      </c>
      <c r="D496" s="5" t="s">
        <v>1361</v>
      </c>
      <c r="E496" s="5" t="s">
        <v>1278</v>
      </c>
      <c r="F496" s="5" t="s">
        <v>1396</v>
      </c>
      <c r="G496" s="5" t="s">
        <v>1263</v>
      </c>
      <c r="I496" s="5" t="s">
        <v>1386</v>
      </c>
    </row>
    <row r="497" spans="1:14" x14ac:dyDescent="0.3">
      <c r="A497" s="5" t="s">
        <v>1175</v>
      </c>
      <c r="B497" s="8">
        <v>8.0000000000000002E-3</v>
      </c>
      <c r="C497" s="9">
        <f t="shared" si="7"/>
        <v>-2.0969100130080562</v>
      </c>
      <c r="D497" s="5" t="s">
        <v>1361</v>
      </c>
      <c r="E497" s="5" t="s">
        <v>1278</v>
      </c>
      <c r="F497" s="5" t="s">
        <v>1396</v>
      </c>
      <c r="G497" s="5" t="s">
        <v>1263</v>
      </c>
      <c r="I497" s="5" t="s">
        <v>1386</v>
      </c>
    </row>
    <row r="498" spans="1:14" x14ac:dyDescent="0.3">
      <c r="A498" s="5" t="s">
        <v>1177</v>
      </c>
      <c r="B498" s="8">
        <v>1.9</v>
      </c>
      <c r="C498" s="9">
        <f t="shared" si="7"/>
        <v>0.27875360095282892</v>
      </c>
      <c r="D498" s="5" t="s">
        <v>1361</v>
      </c>
      <c r="E498" s="5" t="s">
        <v>1278</v>
      </c>
      <c r="F498" s="5" t="s">
        <v>1396</v>
      </c>
      <c r="G498" s="5" t="s">
        <v>1263</v>
      </c>
      <c r="I498" s="5" t="s">
        <v>1386</v>
      </c>
    </row>
    <row r="499" spans="1:14" x14ac:dyDescent="0.3">
      <c r="A499" s="5" t="s">
        <v>1180</v>
      </c>
      <c r="B499" s="8">
        <v>0.17</v>
      </c>
      <c r="C499" s="9">
        <f t="shared" si="7"/>
        <v>-0.769551078621726</v>
      </c>
      <c r="D499" s="5" t="s">
        <v>1361</v>
      </c>
      <c r="E499" s="5" t="s">
        <v>1278</v>
      </c>
      <c r="F499" s="5" t="s">
        <v>1396</v>
      </c>
      <c r="G499" s="5" t="s">
        <v>1263</v>
      </c>
      <c r="I499" s="5" t="s">
        <v>1386</v>
      </c>
    </row>
    <row r="500" spans="1:14" x14ac:dyDescent="0.3">
      <c r="A500" s="5" t="s">
        <v>1182</v>
      </c>
      <c r="B500" s="8">
        <v>7</v>
      </c>
      <c r="C500" s="9">
        <f t="shared" si="7"/>
        <v>0.84509804001425681</v>
      </c>
      <c r="D500" s="5" t="s">
        <v>1361</v>
      </c>
      <c r="E500" s="5" t="s">
        <v>1278</v>
      </c>
      <c r="F500" s="5" t="s">
        <v>1396</v>
      </c>
      <c r="G500" s="5" t="s">
        <v>1263</v>
      </c>
      <c r="I500" s="5" t="s">
        <v>1386</v>
      </c>
    </row>
    <row r="501" spans="1:14" x14ac:dyDescent="0.3">
      <c r="A501" s="5" t="s">
        <v>1185</v>
      </c>
      <c r="B501" s="8">
        <v>4</v>
      </c>
      <c r="C501" s="9">
        <f t="shared" si="7"/>
        <v>0.6020599913279624</v>
      </c>
      <c r="D501" s="5" t="s">
        <v>1361</v>
      </c>
      <c r="E501" s="5" t="s">
        <v>1278</v>
      </c>
      <c r="F501" s="5" t="s">
        <v>1396</v>
      </c>
      <c r="G501" s="5" t="s">
        <v>1263</v>
      </c>
      <c r="I501" s="5" t="s">
        <v>1386</v>
      </c>
    </row>
    <row r="502" spans="1:14" x14ac:dyDescent="0.3">
      <c r="A502" s="5" t="s">
        <v>1187</v>
      </c>
      <c r="B502" s="8">
        <v>0.02</v>
      </c>
      <c r="C502" s="9">
        <f t="shared" si="7"/>
        <v>-1.6989700043360187</v>
      </c>
      <c r="D502" s="5" t="s">
        <v>1388</v>
      </c>
      <c r="E502" s="5" t="s">
        <v>1278</v>
      </c>
      <c r="F502" s="5" t="s">
        <v>1396</v>
      </c>
      <c r="G502" s="5" t="s">
        <v>1246</v>
      </c>
      <c r="I502" s="5" t="s">
        <v>1386</v>
      </c>
    </row>
    <row r="503" spans="1:14" x14ac:dyDescent="0.3">
      <c r="A503" s="5" t="s">
        <v>1189</v>
      </c>
      <c r="B503" s="8">
        <v>0.35</v>
      </c>
      <c r="C503" s="9">
        <f t="shared" si="7"/>
        <v>-0.45593195564972439</v>
      </c>
      <c r="D503" s="5">
        <v>2</v>
      </c>
      <c r="E503" s="5" t="s">
        <v>1367</v>
      </c>
      <c r="F503" s="5" t="s">
        <v>1396</v>
      </c>
      <c r="G503" s="5" t="s">
        <v>1258</v>
      </c>
      <c r="I503" s="5" t="s">
        <v>1386</v>
      </c>
    </row>
    <row r="504" spans="1:14" x14ac:dyDescent="0.3">
      <c r="A504" s="5" t="s">
        <v>1191</v>
      </c>
      <c r="B504" s="8">
        <v>3.4</v>
      </c>
      <c r="C504" s="9">
        <f t="shared" si="7"/>
        <v>0.53147891704225514</v>
      </c>
      <c r="D504" s="5">
        <v>7</v>
      </c>
      <c r="E504" s="5" t="s">
        <v>1388</v>
      </c>
      <c r="F504" s="5" t="s">
        <v>1396</v>
      </c>
      <c r="G504" s="5" t="s">
        <v>1293</v>
      </c>
      <c r="I504" s="5" t="s">
        <v>1386</v>
      </c>
    </row>
    <row r="505" spans="1:14" x14ac:dyDescent="0.3">
      <c r="A505" s="5" t="s">
        <v>1193</v>
      </c>
      <c r="B505" s="8">
        <v>8</v>
      </c>
      <c r="C505" s="9">
        <f t="shared" si="7"/>
        <v>0.90308998699194354</v>
      </c>
      <c r="D505" s="5" t="s">
        <v>1388</v>
      </c>
      <c r="E505" s="5" t="s">
        <v>1278</v>
      </c>
      <c r="F505" s="5" t="s">
        <v>1396</v>
      </c>
      <c r="G505" s="5" t="s">
        <v>1246</v>
      </c>
      <c r="I505" s="5" t="s">
        <v>1386</v>
      </c>
    </row>
    <row r="506" spans="1:14" x14ac:dyDescent="0.3">
      <c r="A506" s="5" t="s">
        <v>1195</v>
      </c>
      <c r="B506" s="8">
        <v>0.8</v>
      </c>
      <c r="C506" s="9">
        <f t="shared" si="7"/>
        <v>-9.6910013008056392E-2</v>
      </c>
      <c r="D506" s="5" t="s">
        <v>1388</v>
      </c>
      <c r="E506" s="5" t="s">
        <v>1278</v>
      </c>
      <c r="F506" s="5" t="s">
        <v>1396</v>
      </c>
      <c r="G506" s="5" t="s">
        <v>1246</v>
      </c>
      <c r="I506" s="5" t="s">
        <v>1386</v>
      </c>
    </row>
    <row r="507" spans="1:14" x14ac:dyDescent="0.3">
      <c r="A507" s="5" t="s">
        <v>1198</v>
      </c>
      <c r="B507" s="8">
        <v>0.04</v>
      </c>
      <c r="C507" s="9">
        <f t="shared" si="7"/>
        <v>-1.3979400086720375</v>
      </c>
      <c r="D507" s="5" t="s">
        <v>1361</v>
      </c>
      <c r="E507" s="5" t="s">
        <v>1278</v>
      </c>
      <c r="F507" s="5" t="s">
        <v>1396</v>
      </c>
      <c r="G507" s="5" t="s">
        <v>1263</v>
      </c>
      <c r="I507" s="5" t="s">
        <v>1386</v>
      </c>
    </row>
    <row r="508" spans="1:14" x14ac:dyDescent="0.3">
      <c r="A508" s="5" t="s">
        <v>1201</v>
      </c>
      <c r="B508" s="8">
        <v>0.02</v>
      </c>
      <c r="C508" s="9">
        <f t="shared" si="7"/>
        <v>-1.6989700043360187</v>
      </c>
      <c r="D508" s="5" t="s">
        <v>1388</v>
      </c>
      <c r="E508" s="5" t="s">
        <v>1278</v>
      </c>
      <c r="F508" s="5" t="s">
        <v>1396</v>
      </c>
      <c r="G508" s="5" t="s">
        <v>1246</v>
      </c>
      <c r="I508" s="5" t="s">
        <v>1386</v>
      </c>
    </row>
    <row r="509" spans="1:14" x14ac:dyDescent="0.3">
      <c r="A509" s="5" t="s">
        <v>1203</v>
      </c>
      <c r="B509" s="8">
        <v>2E-3</v>
      </c>
      <c r="C509" s="9">
        <f t="shared" si="7"/>
        <v>-2.6989700043360187</v>
      </c>
      <c r="D509" s="5" t="s">
        <v>1361</v>
      </c>
      <c r="E509" s="5" t="s">
        <v>1363</v>
      </c>
      <c r="F509" s="5" t="s">
        <v>1396</v>
      </c>
      <c r="G509" s="5" t="s">
        <v>1268</v>
      </c>
      <c r="I509" s="5" t="s">
        <v>1386</v>
      </c>
      <c r="N509" s="5" t="s">
        <v>1362</v>
      </c>
    </row>
    <row r="510" spans="1:14" x14ac:dyDescent="0.3">
      <c r="A510" s="5" t="s">
        <v>1206</v>
      </c>
      <c r="B510" s="8">
        <v>1E-3</v>
      </c>
      <c r="C510" s="9">
        <f t="shared" si="7"/>
        <v>-3</v>
      </c>
      <c r="D510" s="5" t="s">
        <v>1361</v>
      </c>
      <c r="E510" s="5" t="s">
        <v>1363</v>
      </c>
      <c r="F510" s="5" t="s">
        <v>1396</v>
      </c>
      <c r="G510" s="5" t="s">
        <v>1268</v>
      </c>
      <c r="I510" s="5" t="s">
        <v>1386</v>
      </c>
    </row>
    <row r="511" spans="1:14" x14ac:dyDescent="0.3">
      <c r="A511" s="5" t="s">
        <v>1208</v>
      </c>
      <c r="B511" s="8">
        <v>2.5</v>
      </c>
      <c r="C511" s="9">
        <f t="shared" si="7"/>
        <v>0.3979400086720376</v>
      </c>
      <c r="D511" s="5" t="s">
        <v>1388</v>
      </c>
      <c r="E511" s="5" t="s">
        <v>1278</v>
      </c>
      <c r="F511" s="5" t="s">
        <v>1396</v>
      </c>
      <c r="G511" s="5" t="s">
        <v>1246</v>
      </c>
      <c r="I511" s="5" t="s">
        <v>1386</v>
      </c>
    </row>
    <row r="512" spans="1:14" x14ac:dyDescent="0.3">
      <c r="A512" s="5" t="s">
        <v>1211</v>
      </c>
      <c r="B512" s="8">
        <v>3.6999999999999998E-2</v>
      </c>
      <c r="C512" s="9">
        <f t="shared" si="7"/>
        <v>-1.431798275933005</v>
      </c>
      <c r="D512" s="5" t="s">
        <v>1388</v>
      </c>
      <c r="E512" s="5" t="s">
        <v>1278</v>
      </c>
      <c r="F512" s="5" t="s">
        <v>1396</v>
      </c>
      <c r="G512" s="5" t="s">
        <v>1246</v>
      </c>
      <c r="I512" s="5" t="s">
        <v>1386</v>
      </c>
    </row>
    <row r="513" spans="1:9" x14ac:dyDescent="0.3">
      <c r="A513" s="5" t="s">
        <v>1214</v>
      </c>
      <c r="B513" s="8">
        <v>1.9</v>
      </c>
      <c r="C513" s="9">
        <f t="shared" si="7"/>
        <v>0.27875360095282892</v>
      </c>
      <c r="D513" s="5" t="s">
        <v>1388</v>
      </c>
      <c r="E513" s="5" t="s">
        <v>1278</v>
      </c>
      <c r="F513" s="5" t="s">
        <v>1396</v>
      </c>
      <c r="G513" s="5" t="s">
        <v>1246</v>
      </c>
      <c r="H513" s="10">
        <v>8.4277517123516818E-2</v>
      </c>
      <c r="I513" s="5" t="s">
        <v>1386</v>
      </c>
    </row>
    <row r="514" spans="1:9" x14ac:dyDescent="0.3">
      <c r="A514" s="5" t="s">
        <v>1214</v>
      </c>
      <c r="B514" s="8">
        <v>2.5</v>
      </c>
      <c r="C514" s="9">
        <f t="shared" si="7"/>
        <v>0.3979400086720376</v>
      </c>
      <c r="D514" s="5">
        <v>2.2000000000000002</v>
      </c>
      <c r="E514" s="5" t="s">
        <v>1363</v>
      </c>
      <c r="F514" s="5" t="s">
        <v>1396</v>
      </c>
      <c r="G514" s="5" t="s">
        <v>1268</v>
      </c>
      <c r="H514" s="10">
        <v>8.4277517123516818E-2</v>
      </c>
      <c r="I514" s="5" t="s">
        <v>1386</v>
      </c>
    </row>
    <row r="515" spans="1:9" x14ac:dyDescent="0.3">
      <c r="A515" s="5" t="s">
        <v>1217</v>
      </c>
      <c r="B515" s="8">
        <v>1E-3</v>
      </c>
      <c r="C515" s="9">
        <f t="shared" ref="C515:C523" si="8">LOG10(B515)</f>
        <v>-3</v>
      </c>
      <c r="D515" s="5" t="s">
        <v>1361</v>
      </c>
      <c r="E515" s="5" t="s">
        <v>1278</v>
      </c>
      <c r="F515" s="5" t="s">
        <v>1396</v>
      </c>
      <c r="G515" s="5" t="s">
        <v>1263</v>
      </c>
      <c r="I515" s="5" t="s">
        <v>1386</v>
      </c>
    </row>
    <row r="516" spans="1:9" x14ac:dyDescent="0.3">
      <c r="A516" s="5" t="s">
        <v>1220</v>
      </c>
      <c r="B516" s="8">
        <v>4.0000000000000002E-4</v>
      </c>
      <c r="C516" s="9">
        <f t="shared" si="8"/>
        <v>-3.3979400086720375</v>
      </c>
      <c r="D516" s="5" t="s">
        <v>1361</v>
      </c>
      <c r="E516" s="5" t="s">
        <v>1278</v>
      </c>
      <c r="F516" s="5" t="s">
        <v>1396</v>
      </c>
      <c r="G516" s="5" t="s">
        <v>1263</v>
      </c>
      <c r="I516" s="5" t="s">
        <v>1386</v>
      </c>
    </row>
    <row r="517" spans="1:9" x14ac:dyDescent="0.3">
      <c r="A517" s="5" t="s">
        <v>1222</v>
      </c>
      <c r="B517" s="8">
        <v>0.03</v>
      </c>
      <c r="C517" s="9">
        <f t="shared" si="8"/>
        <v>-1.5228787452803376</v>
      </c>
      <c r="D517" s="5" t="s">
        <v>1388</v>
      </c>
      <c r="E517" s="5" t="s">
        <v>1278</v>
      </c>
      <c r="F517" s="5" t="s">
        <v>1396</v>
      </c>
      <c r="G517" s="5" t="s">
        <v>1246</v>
      </c>
      <c r="I517" s="5" t="s">
        <v>1386</v>
      </c>
    </row>
    <row r="518" spans="1:9" x14ac:dyDescent="0.3">
      <c r="A518" s="5" t="s">
        <v>1224</v>
      </c>
      <c r="B518" s="8">
        <v>0.03</v>
      </c>
      <c r="C518" s="9">
        <f t="shared" si="8"/>
        <v>-1.5228787452803376</v>
      </c>
      <c r="D518" s="5" t="s">
        <v>1361</v>
      </c>
      <c r="E518" s="5" t="s">
        <v>1278</v>
      </c>
      <c r="F518" s="5" t="s">
        <v>1396</v>
      </c>
      <c r="G518" s="5" t="s">
        <v>1263</v>
      </c>
      <c r="I518" s="5" t="s">
        <v>1386</v>
      </c>
    </row>
    <row r="519" spans="1:9" x14ac:dyDescent="0.3">
      <c r="A519" s="5" t="s">
        <v>1227</v>
      </c>
      <c r="B519" s="8">
        <v>3</v>
      </c>
      <c r="C519" s="9">
        <f t="shared" si="8"/>
        <v>0.47712125471966244</v>
      </c>
      <c r="D519" s="5" t="s">
        <v>1361</v>
      </c>
      <c r="E519" s="5" t="s">
        <v>1278</v>
      </c>
      <c r="F519" s="5" t="s">
        <v>1396</v>
      </c>
      <c r="G519" s="5" t="s">
        <v>1263</v>
      </c>
      <c r="I519" s="5" t="s">
        <v>1386</v>
      </c>
    </row>
    <row r="520" spans="1:9" x14ac:dyDescent="0.3">
      <c r="A520" s="5" t="s">
        <v>1229</v>
      </c>
      <c r="B520" s="8">
        <v>0.01</v>
      </c>
      <c r="C520" s="9">
        <f t="shared" si="8"/>
        <v>-2</v>
      </c>
      <c r="D520" s="5" t="s">
        <v>1388</v>
      </c>
      <c r="E520" s="5" t="s">
        <v>1278</v>
      </c>
      <c r="F520" s="5" t="s">
        <v>1396</v>
      </c>
      <c r="G520" s="5" t="s">
        <v>1246</v>
      </c>
      <c r="H520" s="10">
        <v>0.49424642991198964</v>
      </c>
      <c r="I520" s="5" t="s">
        <v>1386</v>
      </c>
    </row>
    <row r="521" spans="1:9" x14ac:dyDescent="0.3">
      <c r="A521" s="5" t="s">
        <v>1229</v>
      </c>
      <c r="B521" s="8">
        <v>0.05</v>
      </c>
      <c r="C521" s="9">
        <f t="shared" si="8"/>
        <v>-1.3010299956639813</v>
      </c>
      <c r="D521" s="5">
        <v>2.1</v>
      </c>
      <c r="E521" s="5" t="s">
        <v>1363</v>
      </c>
      <c r="F521" s="5" t="s">
        <v>1396</v>
      </c>
      <c r="G521" s="5" t="s">
        <v>1268</v>
      </c>
      <c r="H521" s="10">
        <v>0.49424642991198964</v>
      </c>
      <c r="I521" s="5" t="s">
        <v>1386</v>
      </c>
    </row>
    <row r="522" spans="1:9" x14ac:dyDescent="0.3">
      <c r="A522" s="5" t="s">
        <v>1231</v>
      </c>
      <c r="B522" s="8">
        <v>6.1</v>
      </c>
      <c r="C522" s="9">
        <f t="shared" si="8"/>
        <v>0.78532983501076703</v>
      </c>
      <c r="D522" s="5">
        <v>2.2000000000000002</v>
      </c>
      <c r="E522" s="5" t="s">
        <v>1363</v>
      </c>
      <c r="F522" s="5" t="s">
        <v>1396</v>
      </c>
      <c r="G522" s="5" t="s">
        <v>1268</v>
      </c>
      <c r="I522" s="5" t="s">
        <v>1386</v>
      </c>
    </row>
    <row r="523" spans="1:9" x14ac:dyDescent="0.3">
      <c r="A523" s="5" t="s">
        <v>1233</v>
      </c>
      <c r="B523" s="8">
        <v>10</v>
      </c>
      <c r="C523" s="9">
        <f t="shared" si="8"/>
        <v>1</v>
      </c>
      <c r="D523" s="5" t="s">
        <v>1388</v>
      </c>
      <c r="E523" s="5" t="s">
        <v>1388</v>
      </c>
      <c r="F523" s="5" t="s">
        <v>1396</v>
      </c>
      <c r="G523" s="5" t="s">
        <v>1358</v>
      </c>
      <c r="I523" s="5" t="s">
        <v>1386</v>
      </c>
    </row>
    <row r="524" spans="1:9" x14ac:dyDescent="0.3">
      <c r="A524" s="16" t="s">
        <v>1382</v>
      </c>
      <c r="B524" s="16"/>
      <c r="C524" s="16"/>
      <c r="D524" s="16"/>
      <c r="E524" s="16"/>
      <c r="F524" s="16"/>
      <c r="G524" s="16"/>
    </row>
  </sheetData>
  <mergeCells count="1">
    <mergeCell ref="A524:G524"/>
  </mergeCells>
  <phoneticPr fontId="1" type="noConversion"/>
  <hyperlinks>
    <hyperlink ref="G6" r:id="rId1" display="https://doi.org/10.1039/b212194h" xr:uid="{CE6703CF-EB74-430E-822F-60CC3137CEB4}"/>
    <hyperlink ref="G435:G444" r:id="rId2" display="https://doi.org/10.1039/b212194h" xr:uid="{2FBE0674-4935-4E7F-8E9B-6B1FB59EFE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0"/>
  <sheetViews>
    <sheetView tabSelected="1" topLeftCell="A454" workbookViewId="0">
      <selection activeCell="H484" sqref="H484"/>
    </sheetView>
  </sheetViews>
  <sheetFormatPr defaultRowHeight="15.4" x14ac:dyDescent="0.3"/>
  <cols>
    <col min="1" max="1" width="6.265625" style="2" customWidth="1"/>
    <col min="2" max="3" width="21.33203125" style="2" customWidth="1"/>
    <col min="4" max="4" width="6.3984375" style="2" customWidth="1"/>
    <col min="5" max="5" width="7.46484375" style="2" customWidth="1"/>
    <col min="6" max="6" width="9.06640625" style="2"/>
    <col min="7" max="7" width="12.9296875" style="2" customWidth="1"/>
    <col min="8" max="31" width="9.06640625" style="2"/>
    <col min="32" max="32" width="12.33203125" style="3" customWidth="1"/>
    <col min="33" max="33" width="9.59765625" style="2" customWidth="1"/>
    <col min="34" max="251" width="9.06640625" style="2"/>
    <col min="252" max="252" width="9.6640625" style="2" bestFit="1" customWidth="1"/>
    <col min="253" max="254" width="21.33203125" style="2" customWidth="1"/>
    <col min="255" max="255" width="6.3984375" style="2" customWidth="1"/>
    <col min="256" max="256" width="12.33203125" style="2" customWidth="1"/>
    <col min="257" max="257" width="9.59765625" style="2" customWidth="1"/>
    <col min="258" max="259" width="9.06640625" style="2"/>
    <col min="260" max="260" width="7.46484375" style="2" customWidth="1"/>
    <col min="261" max="507" width="9.06640625" style="2"/>
    <col min="508" max="508" width="9.6640625" style="2" bestFit="1" customWidth="1"/>
    <col min="509" max="510" width="21.33203125" style="2" customWidth="1"/>
    <col min="511" max="511" width="6.3984375" style="2" customWidth="1"/>
    <col min="512" max="512" width="12.33203125" style="2" customWidth="1"/>
    <col min="513" max="513" width="9.59765625" style="2" customWidth="1"/>
    <col min="514" max="515" width="9.06640625" style="2"/>
    <col min="516" max="516" width="7.46484375" style="2" customWidth="1"/>
    <col min="517" max="763" width="9.06640625" style="2"/>
    <col min="764" max="764" width="9.6640625" style="2" bestFit="1" customWidth="1"/>
    <col min="765" max="766" width="21.33203125" style="2" customWidth="1"/>
    <col min="767" max="767" width="6.3984375" style="2" customWidth="1"/>
    <col min="768" max="768" width="12.33203125" style="2" customWidth="1"/>
    <col min="769" max="769" width="9.59765625" style="2" customWidth="1"/>
    <col min="770" max="771" width="9.06640625" style="2"/>
    <col min="772" max="772" width="7.46484375" style="2" customWidth="1"/>
    <col min="773" max="1019" width="9.06640625" style="2"/>
    <col min="1020" max="1020" width="9.6640625" style="2" bestFit="1" customWidth="1"/>
    <col min="1021" max="1022" width="21.33203125" style="2" customWidth="1"/>
    <col min="1023" max="1023" width="6.3984375" style="2" customWidth="1"/>
    <col min="1024" max="1024" width="12.33203125" style="2" customWidth="1"/>
    <col min="1025" max="1025" width="9.59765625" style="2" customWidth="1"/>
    <col min="1026" max="1027" width="9.06640625" style="2"/>
    <col min="1028" max="1028" width="7.46484375" style="2" customWidth="1"/>
    <col min="1029" max="1275" width="9.06640625" style="2"/>
    <col min="1276" max="1276" width="9.6640625" style="2" bestFit="1" customWidth="1"/>
    <col min="1277" max="1278" width="21.33203125" style="2" customWidth="1"/>
    <col min="1279" max="1279" width="6.3984375" style="2" customWidth="1"/>
    <col min="1280" max="1280" width="12.33203125" style="2" customWidth="1"/>
    <col min="1281" max="1281" width="9.59765625" style="2" customWidth="1"/>
    <col min="1282" max="1283" width="9.06640625" style="2"/>
    <col min="1284" max="1284" width="7.46484375" style="2" customWidth="1"/>
    <col min="1285" max="1531" width="9.06640625" style="2"/>
    <col min="1532" max="1532" width="9.6640625" style="2" bestFit="1" customWidth="1"/>
    <col min="1533" max="1534" width="21.33203125" style="2" customWidth="1"/>
    <col min="1535" max="1535" width="6.3984375" style="2" customWidth="1"/>
    <col min="1536" max="1536" width="12.33203125" style="2" customWidth="1"/>
    <col min="1537" max="1537" width="9.59765625" style="2" customWidth="1"/>
    <col min="1538" max="1539" width="9.06640625" style="2"/>
    <col min="1540" max="1540" width="7.46484375" style="2" customWidth="1"/>
    <col min="1541" max="1787" width="9.06640625" style="2"/>
    <col min="1788" max="1788" width="9.6640625" style="2" bestFit="1" customWidth="1"/>
    <col min="1789" max="1790" width="21.33203125" style="2" customWidth="1"/>
    <col min="1791" max="1791" width="6.3984375" style="2" customWidth="1"/>
    <col min="1792" max="1792" width="12.33203125" style="2" customWidth="1"/>
    <col min="1793" max="1793" width="9.59765625" style="2" customWidth="1"/>
    <col min="1794" max="1795" width="9.06640625" style="2"/>
    <col min="1796" max="1796" width="7.46484375" style="2" customWidth="1"/>
    <col min="1797" max="2043" width="9.06640625" style="2"/>
    <col min="2044" max="2044" width="9.6640625" style="2" bestFit="1" customWidth="1"/>
    <col min="2045" max="2046" width="21.33203125" style="2" customWidth="1"/>
    <col min="2047" max="2047" width="6.3984375" style="2" customWidth="1"/>
    <col min="2048" max="2048" width="12.33203125" style="2" customWidth="1"/>
    <col min="2049" max="2049" width="9.59765625" style="2" customWidth="1"/>
    <col min="2050" max="2051" width="9.06640625" style="2"/>
    <col min="2052" max="2052" width="7.46484375" style="2" customWidth="1"/>
    <col min="2053" max="2299" width="9.06640625" style="2"/>
    <col min="2300" max="2300" width="9.6640625" style="2" bestFit="1" customWidth="1"/>
    <col min="2301" max="2302" width="21.33203125" style="2" customWidth="1"/>
    <col min="2303" max="2303" width="6.3984375" style="2" customWidth="1"/>
    <col min="2304" max="2304" width="12.33203125" style="2" customWidth="1"/>
    <col min="2305" max="2305" width="9.59765625" style="2" customWidth="1"/>
    <col min="2306" max="2307" width="9.06640625" style="2"/>
    <col min="2308" max="2308" width="7.46484375" style="2" customWidth="1"/>
    <col min="2309" max="2555" width="9.06640625" style="2"/>
    <col min="2556" max="2556" width="9.6640625" style="2" bestFit="1" customWidth="1"/>
    <col min="2557" max="2558" width="21.33203125" style="2" customWidth="1"/>
    <col min="2559" max="2559" width="6.3984375" style="2" customWidth="1"/>
    <col min="2560" max="2560" width="12.33203125" style="2" customWidth="1"/>
    <col min="2561" max="2561" width="9.59765625" style="2" customWidth="1"/>
    <col min="2562" max="2563" width="9.06640625" style="2"/>
    <col min="2564" max="2564" width="7.46484375" style="2" customWidth="1"/>
    <col min="2565" max="2811" width="9.06640625" style="2"/>
    <col min="2812" max="2812" width="9.6640625" style="2" bestFit="1" customWidth="1"/>
    <col min="2813" max="2814" width="21.33203125" style="2" customWidth="1"/>
    <col min="2815" max="2815" width="6.3984375" style="2" customWidth="1"/>
    <col min="2816" max="2816" width="12.33203125" style="2" customWidth="1"/>
    <col min="2817" max="2817" width="9.59765625" style="2" customWidth="1"/>
    <col min="2818" max="2819" width="9.06640625" style="2"/>
    <col min="2820" max="2820" width="7.46484375" style="2" customWidth="1"/>
    <col min="2821" max="3067" width="9.06640625" style="2"/>
    <col min="3068" max="3068" width="9.6640625" style="2" bestFit="1" customWidth="1"/>
    <col min="3069" max="3070" width="21.33203125" style="2" customWidth="1"/>
    <col min="3071" max="3071" width="6.3984375" style="2" customWidth="1"/>
    <col min="3072" max="3072" width="12.33203125" style="2" customWidth="1"/>
    <col min="3073" max="3073" width="9.59765625" style="2" customWidth="1"/>
    <col min="3074" max="3075" width="9.06640625" style="2"/>
    <col min="3076" max="3076" width="7.46484375" style="2" customWidth="1"/>
    <col min="3077" max="3323" width="9.06640625" style="2"/>
    <col min="3324" max="3324" width="9.6640625" style="2" bestFit="1" customWidth="1"/>
    <col min="3325" max="3326" width="21.33203125" style="2" customWidth="1"/>
    <col min="3327" max="3327" width="6.3984375" style="2" customWidth="1"/>
    <col min="3328" max="3328" width="12.33203125" style="2" customWidth="1"/>
    <col min="3329" max="3329" width="9.59765625" style="2" customWidth="1"/>
    <col min="3330" max="3331" width="9.06640625" style="2"/>
    <col min="3332" max="3332" width="7.46484375" style="2" customWidth="1"/>
    <col min="3333" max="3579" width="9.06640625" style="2"/>
    <col min="3580" max="3580" width="9.6640625" style="2" bestFit="1" customWidth="1"/>
    <col min="3581" max="3582" width="21.33203125" style="2" customWidth="1"/>
    <col min="3583" max="3583" width="6.3984375" style="2" customWidth="1"/>
    <col min="3584" max="3584" width="12.33203125" style="2" customWidth="1"/>
    <col min="3585" max="3585" width="9.59765625" style="2" customWidth="1"/>
    <col min="3586" max="3587" width="9.06640625" style="2"/>
    <col min="3588" max="3588" width="7.46484375" style="2" customWidth="1"/>
    <col min="3589" max="3835" width="9.06640625" style="2"/>
    <col min="3836" max="3836" width="9.6640625" style="2" bestFit="1" customWidth="1"/>
    <col min="3837" max="3838" width="21.33203125" style="2" customWidth="1"/>
    <col min="3839" max="3839" width="6.3984375" style="2" customWidth="1"/>
    <col min="3840" max="3840" width="12.33203125" style="2" customWidth="1"/>
    <col min="3841" max="3841" width="9.59765625" style="2" customWidth="1"/>
    <col min="3842" max="3843" width="9.06640625" style="2"/>
    <col min="3844" max="3844" width="7.46484375" style="2" customWidth="1"/>
    <col min="3845" max="4091" width="9.06640625" style="2"/>
    <col min="4092" max="4092" width="9.6640625" style="2" bestFit="1" customWidth="1"/>
    <col min="4093" max="4094" width="21.33203125" style="2" customWidth="1"/>
    <col min="4095" max="4095" width="6.3984375" style="2" customWidth="1"/>
    <col min="4096" max="4096" width="12.33203125" style="2" customWidth="1"/>
    <col min="4097" max="4097" width="9.59765625" style="2" customWidth="1"/>
    <col min="4098" max="4099" width="9.06640625" style="2"/>
    <col min="4100" max="4100" width="7.46484375" style="2" customWidth="1"/>
    <col min="4101" max="4347" width="9.06640625" style="2"/>
    <col min="4348" max="4348" width="9.6640625" style="2" bestFit="1" customWidth="1"/>
    <col min="4349" max="4350" width="21.33203125" style="2" customWidth="1"/>
    <col min="4351" max="4351" width="6.3984375" style="2" customWidth="1"/>
    <col min="4352" max="4352" width="12.33203125" style="2" customWidth="1"/>
    <col min="4353" max="4353" width="9.59765625" style="2" customWidth="1"/>
    <col min="4354" max="4355" width="9.06640625" style="2"/>
    <col min="4356" max="4356" width="7.46484375" style="2" customWidth="1"/>
    <col min="4357" max="4603" width="9.06640625" style="2"/>
    <col min="4604" max="4604" width="9.6640625" style="2" bestFit="1" customWidth="1"/>
    <col min="4605" max="4606" width="21.33203125" style="2" customWidth="1"/>
    <col min="4607" max="4607" width="6.3984375" style="2" customWidth="1"/>
    <col min="4608" max="4608" width="12.33203125" style="2" customWidth="1"/>
    <col min="4609" max="4609" width="9.59765625" style="2" customWidth="1"/>
    <col min="4610" max="4611" width="9.06640625" style="2"/>
    <col min="4612" max="4612" width="7.46484375" style="2" customWidth="1"/>
    <col min="4613" max="4859" width="9.06640625" style="2"/>
    <col min="4860" max="4860" width="9.6640625" style="2" bestFit="1" customWidth="1"/>
    <col min="4861" max="4862" width="21.33203125" style="2" customWidth="1"/>
    <col min="4863" max="4863" width="6.3984375" style="2" customWidth="1"/>
    <col min="4864" max="4864" width="12.33203125" style="2" customWidth="1"/>
    <col min="4865" max="4865" width="9.59765625" style="2" customWidth="1"/>
    <col min="4866" max="4867" width="9.06640625" style="2"/>
    <col min="4868" max="4868" width="7.46484375" style="2" customWidth="1"/>
    <col min="4869" max="5115" width="9.06640625" style="2"/>
    <col min="5116" max="5116" width="9.6640625" style="2" bestFit="1" customWidth="1"/>
    <col min="5117" max="5118" width="21.33203125" style="2" customWidth="1"/>
    <col min="5119" max="5119" width="6.3984375" style="2" customWidth="1"/>
    <col min="5120" max="5120" width="12.33203125" style="2" customWidth="1"/>
    <col min="5121" max="5121" width="9.59765625" style="2" customWidth="1"/>
    <col min="5122" max="5123" width="9.06640625" style="2"/>
    <col min="5124" max="5124" width="7.46484375" style="2" customWidth="1"/>
    <col min="5125" max="5371" width="9.06640625" style="2"/>
    <col min="5372" max="5372" width="9.6640625" style="2" bestFit="1" customWidth="1"/>
    <col min="5373" max="5374" width="21.33203125" style="2" customWidth="1"/>
    <col min="5375" max="5375" width="6.3984375" style="2" customWidth="1"/>
    <col min="5376" max="5376" width="12.33203125" style="2" customWidth="1"/>
    <col min="5377" max="5377" width="9.59765625" style="2" customWidth="1"/>
    <col min="5378" max="5379" width="9.06640625" style="2"/>
    <col min="5380" max="5380" width="7.46484375" style="2" customWidth="1"/>
    <col min="5381" max="5627" width="9.06640625" style="2"/>
    <col min="5628" max="5628" width="9.6640625" style="2" bestFit="1" customWidth="1"/>
    <col min="5629" max="5630" width="21.33203125" style="2" customWidth="1"/>
    <col min="5631" max="5631" width="6.3984375" style="2" customWidth="1"/>
    <col min="5632" max="5632" width="12.33203125" style="2" customWidth="1"/>
    <col min="5633" max="5633" width="9.59765625" style="2" customWidth="1"/>
    <col min="5634" max="5635" width="9.06640625" style="2"/>
    <col min="5636" max="5636" width="7.46484375" style="2" customWidth="1"/>
    <col min="5637" max="5883" width="9.06640625" style="2"/>
    <col min="5884" max="5884" width="9.6640625" style="2" bestFit="1" customWidth="1"/>
    <col min="5885" max="5886" width="21.33203125" style="2" customWidth="1"/>
    <col min="5887" max="5887" width="6.3984375" style="2" customWidth="1"/>
    <col min="5888" max="5888" width="12.33203125" style="2" customWidth="1"/>
    <col min="5889" max="5889" width="9.59765625" style="2" customWidth="1"/>
    <col min="5890" max="5891" width="9.06640625" style="2"/>
    <col min="5892" max="5892" width="7.46484375" style="2" customWidth="1"/>
    <col min="5893" max="6139" width="9.06640625" style="2"/>
    <col min="6140" max="6140" width="9.6640625" style="2" bestFit="1" customWidth="1"/>
    <col min="6141" max="6142" width="21.33203125" style="2" customWidth="1"/>
    <col min="6143" max="6143" width="6.3984375" style="2" customWidth="1"/>
    <col min="6144" max="6144" width="12.33203125" style="2" customWidth="1"/>
    <col min="6145" max="6145" width="9.59765625" style="2" customWidth="1"/>
    <col min="6146" max="6147" width="9.06640625" style="2"/>
    <col min="6148" max="6148" width="7.46484375" style="2" customWidth="1"/>
    <col min="6149" max="6395" width="9.06640625" style="2"/>
    <col min="6396" max="6396" width="9.6640625" style="2" bestFit="1" customWidth="1"/>
    <col min="6397" max="6398" width="21.33203125" style="2" customWidth="1"/>
    <col min="6399" max="6399" width="6.3984375" style="2" customWidth="1"/>
    <col min="6400" max="6400" width="12.33203125" style="2" customWidth="1"/>
    <col min="6401" max="6401" width="9.59765625" style="2" customWidth="1"/>
    <col min="6402" max="6403" width="9.06640625" style="2"/>
    <col min="6404" max="6404" width="7.46484375" style="2" customWidth="1"/>
    <col min="6405" max="6651" width="9.06640625" style="2"/>
    <col min="6652" max="6652" width="9.6640625" style="2" bestFit="1" customWidth="1"/>
    <col min="6653" max="6654" width="21.33203125" style="2" customWidth="1"/>
    <col min="6655" max="6655" width="6.3984375" style="2" customWidth="1"/>
    <col min="6656" max="6656" width="12.33203125" style="2" customWidth="1"/>
    <col min="6657" max="6657" width="9.59765625" style="2" customWidth="1"/>
    <col min="6658" max="6659" width="9.06640625" style="2"/>
    <col min="6660" max="6660" width="7.46484375" style="2" customWidth="1"/>
    <col min="6661" max="6907" width="9.06640625" style="2"/>
    <col min="6908" max="6908" width="9.6640625" style="2" bestFit="1" customWidth="1"/>
    <col min="6909" max="6910" width="21.33203125" style="2" customWidth="1"/>
    <col min="6911" max="6911" width="6.3984375" style="2" customWidth="1"/>
    <col min="6912" max="6912" width="12.33203125" style="2" customWidth="1"/>
    <col min="6913" max="6913" width="9.59765625" style="2" customWidth="1"/>
    <col min="6914" max="6915" width="9.06640625" style="2"/>
    <col min="6916" max="6916" width="7.46484375" style="2" customWidth="1"/>
    <col min="6917" max="7163" width="9.06640625" style="2"/>
    <col min="7164" max="7164" width="9.6640625" style="2" bestFit="1" customWidth="1"/>
    <col min="7165" max="7166" width="21.33203125" style="2" customWidth="1"/>
    <col min="7167" max="7167" width="6.3984375" style="2" customWidth="1"/>
    <col min="7168" max="7168" width="12.33203125" style="2" customWidth="1"/>
    <col min="7169" max="7169" width="9.59765625" style="2" customWidth="1"/>
    <col min="7170" max="7171" width="9.06640625" style="2"/>
    <col min="7172" max="7172" width="7.46484375" style="2" customWidth="1"/>
    <col min="7173" max="7419" width="9.06640625" style="2"/>
    <col min="7420" max="7420" width="9.6640625" style="2" bestFit="1" customWidth="1"/>
    <col min="7421" max="7422" width="21.33203125" style="2" customWidth="1"/>
    <col min="7423" max="7423" width="6.3984375" style="2" customWidth="1"/>
    <col min="7424" max="7424" width="12.33203125" style="2" customWidth="1"/>
    <col min="7425" max="7425" width="9.59765625" style="2" customWidth="1"/>
    <col min="7426" max="7427" width="9.06640625" style="2"/>
    <col min="7428" max="7428" width="7.46484375" style="2" customWidth="1"/>
    <col min="7429" max="7675" width="9.06640625" style="2"/>
    <col min="7676" max="7676" width="9.6640625" style="2" bestFit="1" customWidth="1"/>
    <col min="7677" max="7678" width="21.33203125" style="2" customWidth="1"/>
    <col min="7679" max="7679" width="6.3984375" style="2" customWidth="1"/>
    <col min="7680" max="7680" width="12.33203125" style="2" customWidth="1"/>
    <col min="7681" max="7681" width="9.59765625" style="2" customWidth="1"/>
    <col min="7682" max="7683" width="9.06640625" style="2"/>
    <col min="7684" max="7684" width="7.46484375" style="2" customWidth="1"/>
    <col min="7685" max="7931" width="9.06640625" style="2"/>
    <col min="7932" max="7932" width="9.6640625" style="2" bestFit="1" customWidth="1"/>
    <col min="7933" max="7934" width="21.33203125" style="2" customWidth="1"/>
    <col min="7935" max="7935" width="6.3984375" style="2" customWidth="1"/>
    <col min="7936" max="7936" width="12.33203125" style="2" customWidth="1"/>
    <col min="7937" max="7937" width="9.59765625" style="2" customWidth="1"/>
    <col min="7938" max="7939" width="9.06640625" style="2"/>
    <col min="7940" max="7940" width="7.46484375" style="2" customWidth="1"/>
    <col min="7941" max="8187" width="9.06640625" style="2"/>
    <col min="8188" max="8188" width="9.6640625" style="2" bestFit="1" customWidth="1"/>
    <col min="8189" max="8190" width="21.33203125" style="2" customWidth="1"/>
    <col min="8191" max="8191" width="6.3984375" style="2" customWidth="1"/>
    <col min="8192" max="8192" width="12.33203125" style="2" customWidth="1"/>
    <col min="8193" max="8193" width="9.59765625" style="2" customWidth="1"/>
    <col min="8194" max="8195" width="9.06640625" style="2"/>
    <col min="8196" max="8196" width="7.46484375" style="2" customWidth="1"/>
    <col min="8197" max="8443" width="9.06640625" style="2"/>
    <col min="8444" max="8444" width="9.6640625" style="2" bestFit="1" customWidth="1"/>
    <col min="8445" max="8446" width="21.33203125" style="2" customWidth="1"/>
    <col min="8447" max="8447" width="6.3984375" style="2" customWidth="1"/>
    <col min="8448" max="8448" width="12.33203125" style="2" customWidth="1"/>
    <col min="8449" max="8449" width="9.59765625" style="2" customWidth="1"/>
    <col min="8450" max="8451" width="9.06640625" style="2"/>
    <col min="8452" max="8452" width="7.46484375" style="2" customWidth="1"/>
    <col min="8453" max="8699" width="9.06640625" style="2"/>
    <col min="8700" max="8700" width="9.6640625" style="2" bestFit="1" customWidth="1"/>
    <col min="8701" max="8702" width="21.33203125" style="2" customWidth="1"/>
    <col min="8703" max="8703" width="6.3984375" style="2" customWidth="1"/>
    <col min="8704" max="8704" width="12.33203125" style="2" customWidth="1"/>
    <col min="8705" max="8705" width="9.59765625" style="2" customWidth="1"/>
    <col min="8706" max="8707" width="9.06640625" style="2"/>
    <col min="8708" max="8708" width="7.46484375" style="2" customWidth="1"/>
    <col min="8709" max="8955" width="9.06640625" style="2"/>
    <col min="8956" max="8956" width="9.6640625" style="2" bestFit="1" customWidth="1"/>
    <col min="8957" max="8958" width="21.33203125" style="2" customWidth="1"/>
    <col min="8959" max="8959" width="6.3984375" style="2" customWidth="1"/>
    <col min="8960" max="8960" width="12.33203125" style="2" customWidth="1"/>
    <col min="8961" max="8961" width="9.59765625" style="2" customWidth="1"/>
    <col min="8962" max="8963" width="9.06640625" style="2"/>
    <col min="8964" max="8964" width="7.46484375" style="2" customWidth="1"/>
    <col min="8965" max="9211" width="9.06640625" style="2"/>
    <col min="9212" max="9212" width="9.6640625" style="2" bestFit="1" customWidth="1"/>
    <col min="9213" max="9214" width="21.33203125" style="2" customWidth="1"/>
    <col min="9215" max="9215" width="6.3984375" style="2" customWidth="1"/>
    <col min="9216" max="9216" width="12.33203125" style="2" customWidth="1"/>
    <col min="9217" max="9217" width="9.59765625" style="2" customWidth="1"/>
    <col min="9218" max="9219" width="9.06640625" style="2"/>
    <col min="9220" max="9220" width="7.46484375" style="2" customWidth="1"/>
    <col min="9221" max="9467" width="9.06640625" style="2"/>
    <col min="9468" max="9468" width="9.6640625" style="2" bestFit="1" customWidth="1"/>
    <col min="9469" max="9470" width="21.33203125" style="2" customWidth="1"/>
    <col min="9471" max="9471" width="6.3984375" style="2" customWidth="1"/>
    <col min="9472" max="9472" width="12.33203125" style="2" customWidth="1"/>
    <col min="9473" max="9473" width="9.59765625" style="2" customWidth="1"/>
    <col min="9474" max="9475" width="9.06640625" style="2"/>
    <col min="9476" max="9476" width="7.46484375" style="2" customWidth="1"/>
    <col min="9477" max="9723" width="9.06640625" style="2"/>
    <col min="9724" max="9724" width="9.6640625" style="2" bestFit="1" customWidth="1"/>
    <col min="9725" max="9726" width="21.33203125" style="2" customWidth="1"/>
    <col min="9727" max="9727" width="6.3984375" style="2" customWidth="1"/>
    <col min="9728" max="9728" width="12.33203125" style="2" customWidth="1"/>
    <col min="9729" max="9729" width="9.59765625" style="2" customWidth="1"/>
    <col min="9730" max="9731" width="9.06640625" style="2"/>
    <col min="9732" max="9732" width="7.46484375" style="2" customWidth="1"/>
    <col min="9733" max="9979" width="9.06640625" style="2"/>
    <col min="9980" max="9980" width="9.6640625" style="2" bestFit="1" customWidth="1"/>
    <col min="9981" max="9982" width="21.33203125" style="2" customWidth="1"/>
    <col min="9983" max="9983" width="6.3984375" style="2" customWidth="1"/>
    <col min="9984" max="9984" width="12.33203125" style="2" customWidth="1"/>
    <col min="9985" max="9985" width="9.59765625" style="2" customWidth="1"/>
    <col min="9986" max="9987" width="9.06640625" style="2"/>
    <col min="9988" max="9988" width="7.46484375" style="2" customWidth="1"/>
    <col min="9989" max="10235" width="9.06640625" style="2"/>
    <col min="10236" max="10236" width="9.6640625" style="2" bestFit="1" customWidth="1"/>
    <col min="10237" max="10238" width="21.33203125" style="2" customWidth="1"/>
    <col min="10239" max="10239" width="6.3984375" style="2" customWidth="1"/>
    <col min="10240" max="10240" width="12.33203125" style="2" customWidth="1"/>
    <col min="10241" max="10241" width="9.59765625" style="2" customWidth="1"/>
    <col min="10242" max="10243" width="9.06640625" style="2"/>
    <col min="10244" max="10244" width="7.46484375" style="2" customWidth="1"/>
    <col min="10245" max="10491" width="9.06640625" style="2"/>
    <col min="10492" max="10492" width="9.6640625" style="2" bestFit="1" customWidth="1"/>
    <col min="10493" max="10494" width="21.33203125" style="2" customWidth="1"/>
    <col min="10495" max="10495" width="6.3984375" style="2" customWidth="1"/>
    <col min="10496" max="10496" width="12.33203125" style="2" customWidth="1"/>
    <col min="10497" max="10497" width="9.59765625" style="2" customWidth="1"/>
    <col min="10498" max="10499" width="9.06640625" style="2"/>
    <col min="10500" max="10500" width="7.46484375" style="2" customWidth="1"/>
    <col min="10501" max="10747" width="9.06640625" style="2"/>
    <col min="10748" max="10748" width="9.6640625" style="2" bestFit="1" customWidth="1"/>
    <col min="10749" max="10750" width="21.33203125" style="2" customWidth="1"/>
    <col min="10751" max="10751" width="6.3984375" style="2" customWidth="1"/>
    <col min="10752" max="10752" width="12.33203125" style="2" customWidth="1"/>
    <col min="10753" max="10753" width="9.59765625" style="2" customWidth="1"/>
    <col min="10754" max="10755" width="9.06640625" style="2"/>
    <col min="10756" max="10756" width="7.46484375" style="2" customWidth="1"/>
    <col min="10757" max="11003" width="9.06640625" style="2"/>
    <col min="11004" max="11004" width="9.6640625" style="2" bestFit="1" customWidth="1"/>
    <col min="11005" max="11006" width="21.33203125" style="2" customWidth="1"/>
    <col min="11007" max="11007" width="6.3984375" style="2" customWidth="1"/>
    <col min="11008" max="11008" width="12.33203125" style="2" customWidth="1"/>
    <col min="11009" max="11009" width="9.59765625" style="2" customWidth="1"/>
    <col min="11010" max="11011" width="9.06640625" style="2"/>
    <col min="11012" max="11012" width="7.46484375" style="2" customWidth="1"/>
    <col min="11013" max="11259" width="9.06640625" style="2"/>
    <col min="11260" max="11260" width="9.6640625" style="2" bestFit="1" customWidth="1"/>
    <col min="11261" max="11262" width="21.33203125" style="2" customWidth="1"/>
    <col min="11263" max="11263" width="6.3984375" style="2" customWidth="1"/>
    <col min="11264" max="11264" width="12.33203125" style="2" customWidth="1"/>
    <col min="11265" max="11265" width="9.59765625" style="2" customWidth="1"/>
    <col min="11266" max="11267" width="9.06640625" style="2"/>
    <col min="11268" max="11268" width="7.46484375" style="2" customWidth="1"/>
    <col min="11269" max="11515" width="9.06640625" style="2"/>
    <col min="11516" max="11516" width="9.6640625" style="2" bestFit="1" customWidth="1"/>
    <col min="11517" max="11518" width="21.33203125" style="2" customWidth="1"/>
    <col min="11519" max="11519" width="6.3984375" style="2" customWidth="1"/>
    <col min="11520" max="11520" width="12.33203125" style="2" customWidth="1"/>
    <col min="11521" max="11521" width="9.59765625" style="2" customWidth="1"/>
    <col min="11522" max="11523" width="9.06640625" style="2"/>
    <col min="11524" max="11524" width="7.46484375" style="2" customWidth="1"/>
    <col min="11525" max="11771" width="9.06640625" style="2"/>
    <col min="11772" max="11772" width="9.6640625" style="2" bestFit="1" customWidth="1"/>
    <col min="11773" max="11774" width="21.33203125" style="2" customWidth="1"/>
    <col min="11775" max="11775" width="6.3984375" style="2" customWidth="1"/>
    <col min="11776" max="11776" width="12.33203125" style="2" customWidth="1"/>
    <col min="11777" max="11777" width="9.59765625" style="2" customWidth="1"/>
    <col min="11778" max="11779" width="9.06640625" style="2"/>
    <col min="11780" max="11780" width="7.46484375" style="2" customWidth="1"/>
    <col min="11781" max="12027" width="9.06640625" style="2"/>
    <col min="12028" max="12028" width="9.6640625" style="2" bestFit="1" customWidth="1"/>
    <col min="12029" max="12030" width="21.33203125" style="2" customWidth="1"/>
    <col min="12031" max="12031" width="6.3984375" style="2" customWidth="1"/>
    <col min="12032" max="12032" width="12.33203125" style="2" customWidth="1"/>
    <col min="12033" max="12033" width="9.59765625" style="2" customWidth="1"/>
    <col min="12034" max="12035" width="9.06640625" style="2"/>
    <col min="12036" max="12036" width="7.46484375" style="2" customWidth="1"/>
    <col min="12037" max="12283" width="9.06640625" style="2"/>
    <col min="12284" max="12284" width="9.6640625" style="2" bestFit="1" customWidth="1"/>
    <col min="12285" max="12286" width="21.33203125" style="2" customWidth="1"/>
    <col min="12287" max="12287" width="6.3984375" style="2" customWidth="1"/>
    <col min="12288" max="12288" width="12.33203125" style="2" customWidth="1"/>
    <col min="12289" max="12289" width="9.59765625" style="2" customWidth="1"/>
    <col min="12290" max="12291" width="9.06640625" style="2"/>
    <col min="12292" max="12292" width="7.46484375" style="2" customWidth="1"/>
    <col min="12293" max="12539" width="9.06640625" style="2"/>
    <col min="12540" max="12540" width="9.6640625" style="2" bestFit="1" customWidth="1"/>
    <col min="12541" max="12542" width="21.33203125" style="2" customWidth="1"/>
    <col min="12543" max="12543" width="6.3984375" style="2" customWidth="1"/>
    <col min="12544" max="12544" width="12.33203125" style="2" customWidth="1"/>
    <col min="12545" max="12545" width="9.59765625" style="2" customWidth="1"/>
    <col min="12546" max="12547" width="9.06640625" style="2"/>
    <col min="12548" max="12548" width="7.46484375" style="2" customWidth="1"/>
    <col min="12549" max="12795" width="9.06640625" style="2"/>
    <col min="12796" max="12796" width="9.6640625" style="2" bestFit="1" customWidth="1"/>
    <col min="12797" max="12798" width="21.33203125" style="2" customWidth="1"/>
    <col min="12799" max="12799" width="6.3984375" style="2" customWidth="1"/>
    <col min="12800" max="12800" width="12.33203125" style="2" customWidth="1"/>
    <col min="12801" max="12801" width="9.59765625" style="2" customWidth="1"/>
    <col min="12802" max="12803" width="9.06640625" style="2"/>
    <col min="12804" max="12804" width="7.46484375" style="2" customWidth="1"/>
    <col min="12805" max="13051" width="9.06640625" style="2"/>
    <col min="13052" max="13052" width="9.6640625" style="2" bestFit="1" customWidth="1"/>
    <col min="13053" max="13054" width="21.33203125" style="2" customWidth="1"/>
    <col min="13055" max="13055" width="6.3984375" style="2" customWidth="1"/>
    <col min="13056" max="13056" width="12.33203125" style="2" customWidth="1"/>
    <col min="13057" max="13057" width="9.59765625" style="2" customWidth="1"/>
    <col min="13058" max="13059" width="9.06640625" style="2"/>
    <col min="13060" max="13060" width="7.46484375" style="2" customWidth="1"/>
    <col min="13061" max="13307" width="9.06640625" style="2"/>
    <col min="13308" max="13308" width="9.6640625" style="2" bestFit="1" customWidth="1"/>
    <col min="13309" max="13310" width="21.33203125" style="2" customWidth="1"/>
    <col min="13311" max="13311" width="6.3984375" style="2" customWidth="1"/>
    <col min="13312" max="13312" width="12.33203125" style="2" customWidth="1"/>
    <col min="13313" max="13313" width="9.59765625" style="2" customWidth="1"/>
    <col min="13314" max="13315" width="9.06640625" style="2"/>
    <col min="13316" max="13316" width="7.46484375" style="2" customWidth="1"/>
    <col min="13317" max="13563" width="9.06640625" style="2"/>
    <col min="13564" max="13564" width="9.6640625" style="2" bestFit="1" customWidth="1"/>
    <col min="13565" max="13566" width="21.33203125" style="2" customWidth="1"/>
    <col min="13567" max="13567" width="6.3984375" style="2" customWidth="1"/>
    <col min="13568" max="13568" width="12.33203125" style="2" customWidth="1"/>
    <col min="13569" max="13569" width="9.59765625" style="2" customWidth="1"/>
    <col min="13570" max="13571" width="9.06640625" style="2"/>
    <col min="13572" max="13572" width="7.46484375" style="2" customWidth="1"/>
    <col min="13573" max="13819" width="9.06640625" style="2"/>
    <col min="13820" max="13820" width="9.6640625" style="2" bestFit="1" customWidth="1"/>
    <col min="13821" max="13822" width="21.33203125" style="2" customWidth="1"/>
    <col min="13823" max="13823" width="6.3984375" style="2" customWidth="1"/>
    <col min="13824" max="13824" width="12.33203125" style="2" customWidth="1"/>
    <col min="13825" max="13825" width="9.59765625" style="2" customWidth="1"/>
    <col min="13826" max="13827" width="9.06640625" style="2"/>
    <col min="13828" max="13828" width="7.46484375" style="2" customWidth="1"/>
    <col min="13829" max="14075" width="9.06640625" style="2"/>
    <col min="14076" max="14076" width="9.6640625" style="2" bestFit="1" customWidth="1"/>
    <col min="14077" max="14078" width="21.33203125" style="2" customWidth="1"/>
    <col min="14079" max="14079" width="6.3984375" style="2" customWidth="1"/>
    <col min="14080" max="14080" width="12.33203125" style="2" customWidth="1"/>
    <col min="14081" max="14081" width="9.59765625" style="2" customWidth="1"/>
    <col min="14082" max="14083" width="9.06640625" style="2"/>
    <col min="14084" max="14084" width="7.46484375" style="2" customWidth="1"/>
    <col min="14085" max="14331" width="9.06640625" style="2"/>
    <col min="14332" max="14332" width="9.6640625" style="2" bestFit="1" customWidth="1"/>
    <col min="14333" max="14334" width="21.33203125" style="2" customWidth="1"/>
    <col min="14335" max="14335" width="6.3984375" style="2" customWidth="1"/>
    <col min="14336" max="14336" width="12.33203125" style="2" customWidth="1"/>
    <col min="14337" max="14337" width="9.59765625" style="2" customWidth="1"/>
    <col min="14338" max="14339" width="9.06640625" style="2"/>
    <col min="14340" max="14340" width="7.46484375" style="2" customWidth="1"/>
    <col min="14341" max="14587" width="9.06640625" style="2"/>
    <col min="14588" max="14588" width="9.6640625" style="2" bestFit="1" customWidth="1"/>
    <col min="14589" max="14590" width="21.33203125" style="2" customWidth="1"/>
    <col min="14591" max="14591" width="6.3984375" style="2" customWidth="1"/>
    <col min="14592" max="14592" width="12.33203125" style="2" customWidth="1"/>
    <col min="14593" max="14593" width="9.59765625" style="2" customWidth="1"/>
    <col min="14594" max="14595" width="9.06640625" style="2"/>
    <col min="14596" max="14596" width="7.46484375" style="2" customWidth="1"/>
    <col min="14597" max="14843" width="9.06640625" style="2"/>
    <col min="14844" max="14844" width="9.6640625" style="2" bestFit="1" customWidth="1"/>
    <col min="14845" max="14846" width="21.33203125" style="2" customWidth="1"/>
    <col min="14847" max="14847" width="6.3984375" style="2" customWidth="1"/>
    <col min="14848" max="14848" width="12.33203125" style="2" customWidth="1"/>
    <col min="14849" max="14849" width="9.59765625" style="2" customWidth="1"/>
    <col min="14850" max="14851" width="9.06640625" style="2"/>
    <col min="14852" max="14852" width="7.46484375" style="2" customWidth="1"/>
    <col min="14853" max="15099" width="9.06640625" style="2"/>
    <col min="15100" max="15100" width="9.6640625" style="2" bestFit="1" customWidth="1"/>
    <col min="15101" max="15102" width="21.33203125" style="2" customWidth="1"/>
    <col min="15103" max="15103" width="6.3984375" style="2" customWidth="1"/>
    <col min="15104" max="15104" width="12.33203125" style="2" customWidth="1"/>
    <col min="15105" max="15105" width="9.59765625" style="2" customWidth="1"/>
    <col min="15106" max="15107" width="9.06640625" style="2"/>
    <col min="15108" max="15108" width="7.46484375" style="2" customWidth="1"/>
    <col min="15109" max="15355" width="9.06640625" style="2"/>
    <col min="15356" max="15356" width="9.6640625" style="2" bestFit="1" customWidth="1"/>
    <col min="15357" max="15358" width="21.33203125" style="2" customWidth="1"/>
    <col min="15359" max="15359" width="6.3984375" style="2" customWidth="1"/>
    <col min="15360" max="15360" width="12.33203125" style="2" customWidth="1"/>
    <col min="15361" max="15361" width="9.59765625" style="2" customWidth="1"/>
    <col min="15362" max="15363" width="9.06640625" style="2"/>
    <col min="15364" max="15364" width="7.46484375" style="2" customWidth="1"/>
    <col min="15365" max="15611" width="9.06640625" style="2"/>
    <col min="15612" max="15612" width="9.6640625" style="2" bestFit="1" customWidth="1"/>
    <col min="15613" max="15614" width="21.33203125" style="2" customWidth="1"/>
    <col min="15615" max="15615" width="6.3984375" style="2" customWidth="1"/>
    <col min="15616" max="15616" width="12.33203125" style="2" customWidth="1"/>
    <col min="15617" max="15617" width="9.59765625" style="2" customWidth="1"/>
    <col min="15618" max="15619" width="9.06640625" style="2"/>
    <col min="15620" max="15620" width="7.46484375" style="2" customWidth="1"/>
    <col min="15621" max="15867" width="9.06640625" style="2"/>
    <col min="15868" max="15868" width="9.6640625" style="2" bestFit="1" customWidth="1"/>
    <col min="15869" max="15870" width="21.33203125" style="2" customWidth="1"/>
    <col min="15871" max="15871" width="6.3984375" style="2" customWidth="1"/>
    <col min="15872" max="15872" width="12.33203125" style="2" customWidth="1"/>
    <col min="15873" max="15873" width="9.59765625" style="2" customWidth="1"/>
    <col min="15874" max="15875" width="9.06640625" style="2"/>
    <col min="15876" max="15876" width="7.46484375" style="2" customWidth="1"/>
    <col min="15877" max="16123" width="9.06640625" style="2"/>
    <col min="16124" max="16124" width="9.6640625" style="2" bestFit="1" customWidth="1"/>
    <col min="16125" max="16126" width="21.33203125" style="2" customWidth="1"/>
    <col min="16127" max="16127" width="6.3984375" style="2" customWidth="1"/>
    <col min="16128" max="16128" width="12.33203125" style="2" customWidth="1"/>
    <col min="16129" max="16129" width="9.59765625" style="2" customWidth="1"/>
    <col min="16130" max="16131" width="9.06640625" style="2"/>
    <col min="16132" max="16132" width="7.46484375" style="2" customWidth="1"/>
    <col min="16133" max="16384" width="9.06640625" style="2"/>
  </cols>
  <sheetData>
    <row r="1" spans="1:34" ht="15.75" customHeight="1" x14ac:dyDescent="0.3">
      <c r="A1" s="18" t="s">
        <v>0</v>
      </c>
      <c r="B1" s="18" t="s">
        <v>1401</v>
      </c>
      <c r="C1" s="18" t="s">
        <v>1402</v>
      </c>
      <c r="D1" s="18"/>
      <c r="E1" s="18" t="s">
        <v>3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7" t="s">
        <v>1236</v>
      </c>
      <c r="AG1" s="18" t="s">
        <v>1</v>
      </c>
      <c r="AH1" s="18" t="s">
        <v>2</v>
      </c>
    </row>
    <row r="2" spans="1:34" s="1" customFormat="1" ht="15" x14ac:dyDescent="0.3">
      <c r="A2" s="18"/>
      <c r="B2" s="18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1404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1403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1405</v>
      </c>
      <c r="AF2" s="17"/>
      <c r="AG2" s="18"/>
      <c r="AH2" s="18"/>
    </row>
    <row r="3" spans="1:34" x14ac:dyDescent="0.3">
      <c r="A3" s="2">
        <v>1</v>
      </c>
      <c r="B3" s="2" t="s">
        <v>30</v>
      </c>
      <c r="C3" s="2" t="s">
        <v>30</v>
      </c>
      <c r="D3" s="2">
        <v>1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3">
        <v>200000</v>
      </c>
      <c r="AG3" s="2" t="s">
        <v>31</v>
      </c>
      <c r="AH3" s="2" t="s">
        <v>32</v>
      </c>
    </row>
    <row r="4" spans="1:34" x14ac:dyDescent="0.3">
      <c r="A4" s="2">
        <v>2</v>
      </c>
      <c r="B4" s="2" t="s">
        <v>33</v>
      </c>
      <c r="C4" s="2" t="s">
        <v>34</v>
      </c>
      <c r="D4" s="2">
        <v>2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3">
        <v>100000</v>
      </c>
      <c r="AG4" s="2" t="s">
        <v>35</v>
      </c>
      <c r="AH4" s="2" t="s">
        <v>36</v>
      </c>
    </row>
    <row r="5" spans="1:34" x14ac:dyDescent="0.3">
      <c r="A5" s="2">
        <v>3</v>
      </c>
      <c r="B5" s="2" t="s">
        <v>37</v>
      </c>
      <c r="C5" s="2" t="s">
        <v>38</v>
      </c>
      <c r="D5" s="2">
        <v>3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3">
        <v>28000</v>
      </c>
      <c r="AG5" s="2" t="s">
        <v>39</v>
      </c>
      <c r="AH5" s="2" t="s">
        <v>36</v>
      </c>
    </row>
    <row r="6" spans="1:34" x14ac:dyDescent="0.3">
      <c r="A6" s="2">
        <v>4</v>
      </c>
      <c r="B6" s="2" t="s">
        <v>40</v>
      </c>
      <c r="C6" s="2" t="s">
        <v>38</v>
      </c>
      <c r="D6" s="2">
        <v>3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3">
        <v>160000</v>
      </c>
      <c r="AG6" s="2" t="s">
        <v>41</v>
      </c>
      <c r="AH6" s="2" t="s">
        <v>36</v>
      </c>
    </row>
    <row r="7" spans="1:34" x14ac:dyDescent="0.3">
      <c r="A7" s="2">
        <v>5</v>
      </c>
      <c r="B7" s="2" t="s">
        <v>42</v>
      </c>
      <c r="C7" s="2" t="s">
        <v>42</v>
      </c>
      <c r="D7" s="2">
        <v>4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3">
        <v>670</v>
      </c>
      <c r="AG7" s="2" t="s">
        <v>43</v>
      </c>
      <c r="AH7" s="2" t="s">
        <v>36</v>
      </c>
    </row>
    <row r="8" spans="1:34" x14ac:dyDescent="0.3">
      <c r="A8" s="2">
        <v>6</v>
      </c>
      <c r="B8" s="2" t="s">
        <v>44</v>
      </c>
      <c r="C8" s="2" t="s">
        <v>44</v>
      </c>
      <c r="D8" s="2">
        <v>5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3">
        <v>120000</v>
      </c>
      <c r="AG8" s="2" t="s">
        <v>45</v>
      </c>
      <c r="AH8" s="2" t="s">
        <v>36</v>
      </c>
    </row>
    <row r="9" spans="1:34" x14ac:dyDescent="0.3">
      <c r="A9" s="2">
        <v>7</v>
      </c>
      <c r="B9" s="2" t="s">
        <v>46</v>
      </c>
      <c r="C9" s="2" t="s">
        <v>46</v>
      </c>
      <c r="D9" s="2">
        <v>6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3">
        <v>2500</v>
      </c>
      <c r="AG9" s="2" t="s">
        <v>47</v>
      </c>
      <c r="AH9" s="2" t="s">
        <v>36</v>
      </c>
    </row>
    <row r="10" spans="1:34" x14ac:dyDescent="0.3">
      <c r="A10" s="2">
        <v>8</v>
      </c>
      <c r="B10" s="2" t="s">
        <v>48</v>
      </c>
      <c r="C10" s="2" t="s">
        <v>48</v>
      </c>
      <c r="D10" s="2">
        <v>7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3">
        <v>3000</v>
      </c>
      <c r="AG10" s="2" t="s">
        <v>49</v>
      </c>
      <c r="AH10" s="2" t="s">
        <v>36</v>
      </c>
    </row>
    <row r="11" spans="1:34" x14ac:dyDescent="0.3">
      <c r="A11" s="2">
        <v>9</v>
      </c>
      <c r="B11" s="2" t="s">
        <v>50</v>
      </c>
      <c r="C11" s="2" t="s">
        <v>50</v>
      </c>
      <c r="D11" s="2">
        <v>8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3">
        <v>12000</v>
      </c>
      <c r="AG11" s="2" t="s">
        <v>51</v>
      </c>
      <c r="AH11" s="2" t="s">
        <v>36</v>
      </c>
    </row>
    <row r="12" spans="1:34" x14ac:dyDescent="0.3">
      <c r="A12" s="2">
        <v>10</v>
      </c>
      <c r="B12" s="2" t="s">
        <v>52</v>
      </c>
      <c r="C12" s="2" t="s">
        <v>52</v>
      </c>
      <c r="D12" s="2">
        <v>9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3">
        <v>340000</v>
      </c>
      <c r="AG12" s="2" t="s">
        <v>53</v>
      </c>
      <c r="AH12" s="2" t="s">
        <v>32</v>
      </c>
    </row>
    <row r="13" spans="1:34" x14ac:dyDescent="0.3">
      <c r="A13" s="2">
        <v>11</v>
      </c>
      <c r="B13" s="2" t="s">
        <v>54</v>
      </c>
      <c r="C13" s="2" t="s">
        <v>54</v>
      </c>
      <c r="D13" s="2">
        <v>10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3">
        <v>360000</v>
      </c>
      <c r="AG13" s="2" t="s">
        <v>55</v>
      </c>
      <c r="AH13" s="2" t="s">
        <v>36</v>
      </c>
    </row>
    <row r="14" spans="1:34" x14ac:dyDescent="0.3">
      <c r="A14" s="2">
        <v>12</v>
      </c>
      <c r="B14" s="2" t="s">
        <v>56</v>
      </c>
      <c r="C14" s="2" t="s">
        <v>56</v>
      </c>
      <c r="D14" s="2">
        <v>11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3">
        <v>99000</v>
      </c>
      <c r="AG14" s="2" t="s">
        <v>57</v>
      </c>
      <c r="AH14" s="2" t="s">
        <v>32</v>
      </c>
    </row>
    <row r="15" spans="1:34" x14ac:dyDescent="0.3">
      <c r="A15" s="2">
        <v>13</v>
      </c>
      <c r="B15" s="2" t="s">
        <v>58</v>
      </c>
      <c r="C15" s="2" t="s">
        <v>59</v>
      </c>
      <c r="D15" s="2">
        <v>12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3">
        <v>540000</v>
      </c>
      <c r="AG15" s="2" t="s">
        <v>60</v>
      </c>
      <c r="AH15" s="2" t="s">
        <v>36</v>
      </c>
    </row>
    <row r="16" spans="1:34" x14ac:dyDescent="0.3">
      <c r="A16" s="2">
        <v>14</v>
      </c>
      <c r="B16" s="2" t="s">
        <v>61</v>
      </c>
      <c r="C16" s="2" t="s">
        <v>61</v>
      </c>
      <c r="D16" s="2">
        <v>13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3">
        <v>0.04</v>
      </c>
      <c r="AG16" s="2" t="s">
        <v>62</v>
      </c>
      <c r="AH16" s="2" t="s">
        <v>36</v>
      </c>
    </row>
    <row r="17" spans="1:34" x14ac:dyDescent="0.3">
      <c r="A17" s="2">
        <v>15</v>
      </c>
      <c r="B17" s="2" t="s">
        <v>63</v>
      </c>
      <c r="C17" s="2" t="s">
        <v>64</v>
      </c>
      <c r="D17" s="2">
        <v>14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3">
        <v>69000</v>
      </c>
      <c r="AG17" s="2" t="s">
        <v>65</v>
      </c>
      <c r="AH17" s="2" t="s">
        <v>36</v>
      </c>
    </row>
    <row r="18" spans="1:34" x14ac:dyDescent="0.3">
      <c r="A18" s="2">
        <v>16</v>
      </c>
      <c r="B18" s="2" t="s">
        <v>66</v>
      </c>
      <c r="C18" s="2" t="s">
        <v>64</v>
      </c>
      <c r="D18" s="2">
        <v>14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3">
        <v>900000</v>
      </c>
      <c r="AG18" s="2" t="s">
        <v>67</v>
      </c>
      <c r="AH18" s="2" t="s">
        <v>32</v>
      </c>
    </row>
    <row r="19" spans="1:34" x14ac:dyDescent="0.3">
      <c r="A19" s="2">
        <v>17</v>
      </c>
      <c r="B19" s="2" t="s">
        <v>68</v>
      </c>
      <c r="C19" s="2" t="s">
        <v>68</v>
      </c>
      <c r="D19" s="2">
        <v>15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3">
        <v>6800</v>
      </c>
      <c r="AG19" s="2" t="s">
        <v>69</v>
      </c>
      <c r="AH19" s="2" t="s">
        <v>36</v>
      </c>
    </row>
    <row r="20" spans="1:34" x14ac:dyDescent="0.3">
      <c r="A20" s="2">
        <v>18</v>
      </c>
      <c r="B20" s="2" t="s">
        <v>70</v>
      </c>
      <c r="C20" s="2" t="s">
        <v>70</v>
      </c>
      <c r="D20" s="2">
        <v>16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3">
        <v>2200000</v>
      </c>
      <c r="AG20" s="2" t="s">
        <v>71</v>
      </c>
      <c r="AH20" s="2" t="s">
        <v>36</v>
      </c>
    </row>
    <row r="21" spans="1:34" x14ac:dyDescent="0.3">
      <c r="A21" s="2">
        <v>19</v>
      </c>
      <c r="B21" s="2" t="s">
        <v>72</v>
      </c>
      <c r="C21" s="2" t="s">
        <v>72</v>
      </c>
      <c r="D21" s="2">
        <v>17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3">
        <v>4200</v>
      </c>
      <c r="AG21" s="2" t="s">
        <v>73</v>
      </c>
      <c r="AH21" s="2" t="s">
        <v>32</v>
      </c>
    </row>
    <row r="22" spans="1:34" x14ac:dyDescent="0.3">
      <c r="A22" s="2">
        <v>20</v>
      </c>
      <c r="B22" s="2" t="s">
        <v>74</v>
      </c>
      <c r="C22" s="2" t="s">
        <v>74</v>
      </c>
      <c r="D22" s="2">
        <v>18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3">
        <v>230</v>
      </c>
      <c r="AG22" s="2" t="s">
        <v>75</v>
      </c>
      <c r="AH22" s="2" t="s">
        <v>32</v>
      </c>
    </row>
    <row r="23" spans="1:34" x14ac:dyDescent="0.3">
      <c r="A23" s="2">
        <v>21</v>
      </c>
      <c r="B23" s="2" t="s">
        <v>76</v>
      </c>
      <c r="C23" s="2" t="s">
        <v>76</v>
      </c>
      <c r="D23" s="2">
        <v>19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3">
        <v>1500</v>
      </c>
      <c r="AG23" s="2" t="s">
        <v>77</v>
      </c>
      <c r="AH23" s="2" t="s">
        <v>36</v>
      </c>
    </row>
    <row r="24" spans="1:34" x14ac:dyDescent="0.3">
      <c r="A24" s="2">
        <v>22</v>
      </c>
      <c r="B24" s="2" t="s">
        <v>78</v>
      </c>
      <c r="C24" s="2" t="s">
        <v>78</v>
      </c>
      <c r="D24" s="2">
        <v>20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3">
        <v>19000</v>
      </c>
      <c r="AG24" s="2" t="s">
        <v>79</v>
      </c>
      <c r="AH24" s="2" t="s">
        <v>36</v>
      </c>
    </row>
    <row r="25" spans="1:34" x14ac:dyDescent="0.3">
      <c r="A25" s="2">
        <v>23</v>
      </c>
      <c r="B25" s="2" t="s">
        <v>80</v>
      </c>
      <c r="C25" s="2" t="s">
        <v>80</v>
      </c>
      <c r="D25" s="2">
        <v>21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3">
        <v>110</v>
      </c>
      <c r="AG25" s="2" t="s">
        <v>81</v>
      </c>
      <c r="AH25" s="2" t="s">
        <v>36</v>
      </c>
    </row>
    <row r="26" spans="1:34" x14ac:dyDescent="0.3">
      <c r="A26" s="2">
        <v>24</v>
      </c>
      <c r="B26" s="2" t="s">
        <v>82</v>
      </c>
      <c r="C26" s="2" t="s">
        <v>82</v>
      </c>
      <c r="D26" s="2">
        <v>22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3">
        <v>550</v>
      </c>
      <c r="AG26" s="2" t="s">
        <v>83</v>
      </c>
      <c r="AH26" s="2" t="s">
        <v>36</v>
      </c>
    </row>
    <row r="27" spans="1:34" x14ac:dyDescent="0.3">
      <c r="A27" s="2">
        <v>25</v>
      </c>
      <c r="B27" s="2" t="s">
        <v>84</v>
      </c>
      <c r="C27" s="2" t="s">
        <v>84</v>
      </c>
      <c r="D27" s="2">
        <v>23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3">
        <v>6100</v>
      </c>
      <c r="AG27" s="2" t="s">
        <v>85</v>
      </c>
      <c r="AH27" s="2" t="s">
        <v>36</v>
      </c>
    </row>
    <row r="28" spans="1:34" x14ac:dyDescent="0.3">
      <c r="A28" s="2">
        <v>26</v>
      </c>
      <c r="B28" s="2" t="s">
        <v>86</v>
      </c>
      <c r="C28" s="2" t="s">
        <v>86</v>
      </c>
      <c r="D28" s="2">
        <v>24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3">
        <v>2600</v>
      </c>
      <c r="AG28" s="2" t="s">
        <v>87</v>
      </c>
      <c r="AH28" s="2" t="s">
        <v>32</v>
      </c>
    </row>
    <row r="29" spans="1:34" x14ac:dyDescent="0.3">
      <c r="A29" s="2">
        <v>27</v>
      </c>
      <c r="B29" s="2" t="s">
        <v>88</v>
      </c>
      <c r="C29" s="2" t="s">
        <v>88</v>
      </c>
      <c r="D29" s="2">
        <v>25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3">
        <v>3300</v>
      </c>
      <c r="AG29" s="2" t="s">
        <v>89</v>
      </c>
      <c r="AH29" s="2" t="s">
        <v>36</v>
      </c>
    </row>
    <row r="30" spans="1:34" x14ac:dyDescent="0.3">
      <c r="A30" s="2">
        <v>28</v>
      </c>
      <c r="B30" s="2" t="s">
        <v>90</v>
      </c>
      <c r="C30" s="2" t="s">
        <v>91</v>
      </c>
      <c r="D30" s="2">
        <v>26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3">
        <v>2000000</v>
      </c>
      <c r="AG30" s="2" t="s">
        <v>92</v>
      </c>
      <c r="AH30" s="2" t="s">
        <v>36</v>
      </c>
    </row>
    <row r="31" spans="1:34" x14ac:dyDescent="0.3">
      <c r="A31" s="2">
        <v>29</v>
      </c>
      <c r="B31" s="2" t="s">
        <v>93</v>
      </c>
      <c r="C31" s="2" t="s">
        <v>91</v>
      </c>
      <c r="D31" s="2">
        <v>26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3">
        <v>12000000</v>
      </c>
      <c r="AG31" s="2" t="s">
        <v>94</v>
      </c>
      <c r="AH31" s="2" t="s">
        <v>36</v>
      </c>
    </row>
    <row r="32" spans="1:34" x14ac:dyDescent="0.3">
      <c r="A32" s="2">
        <v>30</v>
      </c>
      <c r="B32" s="2" t="s">
        <v>95</v>
      </c>
      <c r="C32" s="2" t="s">
        <v>95</v>
      </c>
      <c r="D32" s="2">
        <v>27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3">
        <v>220000</v>
      </c>
      <c r="AG32" s="2" t="s">
        <v>96</v>
      </c>
      <c r="AH32" s="2" t="s">
        <v>36</v>
      </c>
    </row>
    <row r="33" spans="1:34" x14ac:dyDescent="0.3">
      <c r="A33" s="2">
        <v>31</v>
      </c>
      <c r="B33" s="2" t="s">
        <v>97</v>
      </c>
      <c r="C33" s="2" t="s">
        <v>97</v>
      </c>
      <c r="D33" s="2">
        <v>28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3">
        <v>0.02</v>
      </c>
      <c r="AG33" s="2" t="s">
        <v>98</v>
      </c>
      <c r="AH33" s="2" t="s">
        <v>32</v>
      </c>
    </row>
    <row r="34" spans="1:34" x14ac:dyDescent="0.3">
      <c r="A34" s="2">
        <v>32</v>
      </c>
      <c r="B34" s="2" t="s">
        <v>99</v>
      </c>
      <c r="C34" s="2" t="s">
        <v>99</v>
      </c>
      <c r="D34" s="2">
        <v>29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3">
        <v>180000</v>
      </c>
      <c r="AG34" s="2" t="s">
        <v>100</v>
      </c>
      <c r="AH34" s="2" t="s">
        <v>36</v>
      </c>
    </row>
    <row r="35" spans="1:34" x14ac:dyDescent="0.3">
      <c r="A35" s="2">
        <v>33</v>
      </c>
      <c r="B35" s="2" t="s">
        <v>101</v>
      </c>
      <c r="C35" s="2" t="s">
        <v>102</v>
      </c>
      <c r="D35" s="2">
        <v>30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3">
        <v>4900</v>
      </c>
      <c r="AG35" s="2" t="s">
        <v>103</v>
      </c>
      <c r="AH35" s="2" t="s">
        <v>36</v>
      </c>
    </row>
    <row r="36" spans="1:34" x14ac:dyDescent="0.3">
      <c r="A36" s="2">
        <v>34</v>
      </c>
      <c r="B36" s="2" t="s">
        <v>104</v>
      </c>
      <c r="C36" s="2" t="s">
        <v>102</v>
      </c>
      <c r="D36" s="2">
        <v>30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3">
        <v>21000</v>
      </c>
      <c r="AG36" s="2" t="s">
        <v>105</v>
      </c>
      <c r="AH36" s="2" t="s">
        <v>32</v>
      </c>
    </row>
    <row r="37" spans="1:34" x14ac:dyDescent="0.3">
      <c r="A37" s="2">
        <v>35</v>
      </c>
      <c r="B37" s="2" t="s">
        <v>106</v>
      </c>
      <c r="C37" s="2" t="s">
        <v>102</v>
      </c>
      <c r="D37" s="2">
        <v>30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3">
        <v>130000</v>
      </c>
      <c r="AG37" s="2" t="s">
        <v>107</v>
      </c>
      <c r="AH37" s="2" t="s">
        <v>36</v>
      </c>
    </row>
    <row r="38" spans="1:34" x14ac:dyDescent="0.3">
      <c r="A38" s="2">
        <v>36</v>
      </c>
      <c r="B38" s="2" t="s">
        <v>108</v>
      </c>
      <c r="C38" s="2" t="s">
        <v>109</v>
      </c>
      <c r="D38" s="2">
        <v>31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3">
        <v>85000</v>
      </c>
      <c r="AG38" s="2" t="s">
        <v>110</v>
      </c>
      <c r="AH38" s="2" t="s">
        <v>36</v>
      </c>
    </row>
    <row r="39" spans="1:34" x14ac:dyDescent="0.3">
      <c r="A39" s="2">
        <v>37</v>
      </c>
      <c r="B39" s="2" t="s">
        <v>111</v>
      </c>
      <c r="C39" s="2" t="s">
        <v>111</v>
      </c>
      <c r="D39" s="2">
        <v>32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3">
        <v>1700000</v>
      </c>
      <c r="AG39" s="2" t="s">
        <v>112</v>
      </c>
      <c r="AH39" s="2" t="s">
        <v>36</v>
      </c>
    </row>
    <row r="40" spans="1:34" x14ac:dyDescent="0.3">
      <c r="A40" s="2">
        <v>38</v>
      </c>
      <c r="B40" s="2" t="s">
        <v>113</v>
      </c>
      <c r="C40" s="2" t="s">
        <v>114</v>
      </c>
      <c r="D40" s="2">
        <v>33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3">
        <v>590000</v>
      </c>
      <c r="AG40" s="2" t="s">
        <v>115</v>
      </c>
      <c r="AH40" s="2" t="s">
        <v>36</v>
      </c>
    </row>
    <row r="41" spans="1:34" x14ac:dyDescent="0.3">
      <c r="A41" s="2">
        <v>39</v>
      </c>
      <c r="B41" s="2" t="s">
        <v>116</v>
      </c>
      <c r="C41" s="2" t="s">
        <v>117</v>
      </c>
      <c r="D41" s="2">
        <v>34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3">
        <v>2200000</v>
      </c>
      <c r="AG41" s="2" t="s">
        <v>118</v>
      </c>
      <c r="AH41" s="2" t="s">
        <v>36</v>
      </c>
    </row>
    <row r="42" spans="1:34" x14ac:dyDescent="0.3">
      <c r="A42" s="2">
        <v>40</v>
      </c>
      <c r="B42" s="2" t="s">
        <v>119</v>
      </c>
      <c r="C42" s="2" t="s">
        <v>119</v>
      </c>
      <c r="D42" s="2">
        <v>35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3">
        <v>1700000</v>
      </c>
      <c r="AG42" s="2" t="s">
        <v>120</v>
      </c>
      <c r="AH42" s="2" t="s">
        <v>32</v>
      </c>
    </row>
    <row r="43" spans="1:34" x14ac:dyDescent="0.3">
      <c r="A43" s="2">
        <v>41</v>
      </c>
      <c r="B43" s="2" t="s">
        <v>121</v>
      </c>
      <c r="C43" s="2" t="s">
        <v>122</v>
      </c>
      <c r="D43" s="2">
        <v>36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3">
        <v>3200000</v>
      </c>
      <c r="AG43" s="2" t="s">
        <v>123</v>
      </c>
      <c r="AH43" s="2" t="s">
        <v>36</v>
      </c>
    </row>
    <row r="44" spans="1:34" x14ac:dyDescent="0.3">
      <c r="A44" s="2">
        <v>42</v>
      </c>
      <c r="B44" s="2" t="s">
        <v>124</v>
      </c>
      <c r="C44" s="2" t="s">
        <v>124</v>
      </c>
      <c r="D44" s="2">
        <v>37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3">
        <v>0.1</v>
      </c>
      <c r="AG44" s="2" t="s">
        <v>125</v>
      </c>
      <c r="AH44" s="2" t="s">
        <v>36</v>
      </c>
    </row>
    <row r="45" spans="1:34" x14ac:dyDescent="0.3">
      <c r="A45" s="2">
        <v>43</v>
      </c>
      <c r="B45" s="2" t="s">
        <v>126</v>
      </c>
      <c r="C45" s="2" t="s">
        <v>126</v>
      </c>
      <c r="D45" s="2">
        <v>38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3">
        <v>9</v>
      </c>
      <c r="AG45" s="2" t="s">
        <v>127</v>
      </c>
      <c r="AH45" s="2" t="s">
        <v>32</v>
      </c>
    </row>
    <row r="46" spans="1:34" x14ac:dyDescent="0.3">
      <c r="A46" s="2">
        <v>44</v>
      </c>
      <c r="B46" s="2" t="s">
        <v>128</v>
      </c>
      <c r="C46" s="2" t="s">
        <v>128</v>
      </c>
      <c r="D46" s="2">
        <v>39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3">
        <v>540000</v>
      </c>
      <c r="AG46" s="2" t="s">
        <v>129</v>
      </c>
      <c r="AH46" s="2" t="s">
        <v>36</v>
      </c>
    </row>
    <row r="47" spans="1:34" x14ac:dyDescent="0.3">
      <c r="A47" s="2">
        <v>45</v>
      </c>
      <c r="B47" s="2" t="s">
        <v>130</v>
      </c>
      <c r="C47" s="2" t="s">
        <v>130</v>
      </c>
      <c r="D47" s="2">
        <v>40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3">
        <v>100000</v>
      </c>
      <c r="AG47" s="2" t="s">
        <v>131</v>
      </c>
      <c r="AH47" s="2" t="s">
        <v>36</v>
      </c>
    </row>
    <row r="48" spans="1:34" x14ac:dyDescent="0.3">
      <c r="A48" s="2">
        <v>46</v>
      </c>
      <c r="B48" s="2" t="s">
        <v>132</v>
      </c>
      <c r="C48" s="2" t="s">
        <v>132</v>
      </c>
      <c r="D48" s="2">
        <v>41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3">
        <v>180000</v>
      </c>
      <c r="AG48" s="2" t="s">
        <v>133</v>
      </c>
      <c r="AH48" s="2" t="s">
        <v>36</v>
      </c>
    </row>
    <row r="49" spans="1:34" x14ac:dyDescent="0.3">
      <c r="A49" s="2">
        <v>47</v>
      </c>
      <c r="B49" s="2" t="s">
        <v>134</v>
      </c>
      <c r="C49" s="2" t="s">
        <v>135</v>
      </c>
      <c r="D49" s="2">
        <v>42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3">
        <v>340000</v>
      </c>
      <c r="AG49" s="2" t="s">
        <v>136</v>
      </c>
      <c r="AH49" s="2" t="s">
        <v>36</v>
      </c>
    </row>
    <row r="50" spans="1:34" x14ac:dyDescent="0.3">
      <c r="A50" s="2">
        <v>48</v>
      </c>
      <c r="B50" s="2" t="s">
        <v>137</v>
      </c>
      <c r="C50" s="2" t="s">
        <v>137</v>
      </c>
      <c r="D50" s="2">
        <v>43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3">
        <v>160000</v>
      </c>
      <c r="AG50" s="2" t="s">
        <v>138</v>
      </c>
      <c r="AH50" s="2" t="s">
        <v>36</v>
      </c>
    </row>
    <row r="51" spans="1:34" x14ac:dyDescent="0.3">
      <c r="A51" s="2">
        <v>49</v>
      </c>
      <c r="B51" s="2" t="s">
        <v>139</v>
      </c>
      <c r="C51" s="2" t="s">
        <v>139</v>
      </c>
      <c r="D51" s="2">
        <v>44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3">
        <v>370000</v>
      </c>
      <c r="AG51" s="2" t="s">
        <v>140</v>
      </c>
      <c r="AH51" s="2" t="s">
        <v>36</v>
      </c>
    </row>
    <row r="52" spans="1:34" x14ac:dyDescent="0.3">
      <c r="A52" s="2">
        <v>50</v>
      </c>
      <c r="B52" s="2" t="s">
        <v>141</v>
      </c>
      <c r="C52" s="2" t="s">
        <v>142</v>
      </c>
      <c r="D52" s="2">
        <v>45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3">
        <v>23000</v>
      </c>
      <c r="AG52" s="2" t="s">
        <v>143</v>
      </c>
      <c r="AH52" s="2" t="s">
        <v>36</v>
      </c>
    </row>
    <row r="53" spans="1:34" x14ac:dyDescent="0.3">
      <c r="A53" s="2">
        <v>51</v>
      </c>
      <c r="B53" s="2" t="s">
        <v>144</v>
      </c>
      <c r="C53" s="2" t="s">
        <v>142</v>
      </c>
      <c r="D53" s="2">
        <v>45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3">
        <v>46000</v>
      </c>
      <c r="AG53" s="2" t="s">
        <v>145</v>
      </c>
      <c r="AH53" s="2" t="s">
        <v>36</v>
      </c>
    </row>
    <row r="54" spans="1:34" x14ac:dyDescent="0.3">
      <c r="A54" s="2">
        <v>52</v>
      </c>
      <c r="B54" s="2" t="s">
        <v>146</v>
      </c>
      <c r="C54" s="2" t="s">
        <v>147</v>
      </c>
      <c r="D54" s="2">
        <v>46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3">
        <v>25000</v>
      </c>
      <c r="AG54" s="2" t="s">
        <v>148</v>
      </c>
      <c r="AH54" s="2" t="s">
        <v>36</v>
      </c>
    </row>
    <row r="55" spans="1:34" x14ac:dyDescent="0.3">
      <c r="A55" s="2">
        <v>53</v>
      </c>
      <c r="B55" s="2" t="s">
        <v>149</v>
      </c>
      <c r="C55" s="2" t="s">
        <v>147</v>
      </c>
      <c r="D55" s="2">
        <v>46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3">
        <v>59000</v>
      </c>
      <c r="AG55" s="2" t="s">
        <v>150</v>
      </c>
      <c r="AH55" s="2" t="s">
        <v>36</v>
      </c>
    </row>
    <row r="56" spans="1:34" x14ac:dyDescent="0.3">
      <c r="A56" s="2">
        <v>54</v>
      </c>
      <c r="B56" s="2" t="s">
        <v>151</v>
      </c>
      <c r="C56" s="2" t="s">
        <v>152</v>
      </c>
      <c r="D56" s="2">
        <v>47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3">
        <v>150</v>
      </c>
      <c r="AG56" s="2" t="s">
        <v>153</v>
      </c>
      <c r="AH56" s="2" t="s">
        <v>36</v>
      </c>
    </row>
    <row r="57" spans="1:34" x14ac:dyDescent="0.3">
      <c r="A57" s="2">
        <v>55</v>
      </c>
      <c r="B57" s="2" t="s">
        <v>154</v>
      </c>
      <c r="C57" s="2" t="s">
        <v>152</v>
      </c>
      <c r="D57" s="2">
        <v>47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3">
        <v>2400</v>
      </c>
      <c r="AG57" s="2" t="s">
        <v>155</v>
      </c>
      <c r="AH57" s="2" t="s">
        <v>36</v>
      </c>
    </row>
    <row r="58" spans="1:34" x14ac:dyDescent="0.3">
      <c r="A58" s="2">
        <v>56</v>
      </c>
      <c r="B58" s="2" t="s">
        <v>156</v>
      </c>
      <c r="C58" s="2" t="s">
        <v>152</v>
      </c>
      <c r="D58" s="2">
        <v>47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3">
        <v>5300</v>
      </c>
      <c r="AG58" s="2" t="s">
        <v>157</v>
      </c>
      <c r="AH58" s="2" t="s">
        <v>32</v>
      </c>
    </row>
    <row r="59" spans="1:34" x14ac:dyDescent="0.3">
      <c r="A59" s="2">
        <v>57</v>
      </c>
      <c r="B59" s="2" t="s">
        <v>158</v>
      </c>
      <c r="C59" s="2" t="s">
        <v>158</v>
      </c>
      <c r="D59" s="2">
        <v>48</v>
      </c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3">
        <v>19000</v>
      </c>
      <c r="AG59" s="2" t="s">
        <v>159</v>
      </c>
      <c r="AH59" s="2" t="s">
        <v>32</v>
      </c>
    </row>
    <row r="60" spans="1:34" x14ac:dyDescent="0.3">
      <c r="A60" s="2">
        <v>58</v>
      </c>
      <c r="B60" s="2" t="s">
        <v>160</v>
      </c>
      <c r="C60" s="2" t="s">
        <v>161</v>
      </c>
      <c r="D60" s="2">
        <v>49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3">
        <v>150000</v>
      </c>
      <c r="AG60" s="2" t="s">
        <v>162</v>
      </c>
      <c r="AH60" s="2" t="s">
        <v>36</v>
      </c>
    </row>
    <row r="61" spans="1:34" x14ac:dyDescent="0.3">
      <c r="A61" s="2">
        <v>59</v>
      </c>
      <c r="B61" s="2" t="s">
        <v>163</v>
      </c>
      <c r="C61" s="2" t="s">
        <v>161</v>
      </c>
      <c r="D61" s="2">
        <v>49</v>
      </c>
      <c r="E61" s="2">
        <v>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3">
        <v>3700000</v>
      </c>
      <c r="AG61" s="2" t="s">
        <v>164</v>
      </c>
      <c r="AH61" s="2" t="s">
        <v>36</v>
      </c>
    </row>
    <row r="62" spans="1:34" x14ac:dyDescent="0.3">
      <c r="A62" s="2">
        <v>60</v>
      </c>
      <c r="B62" s="2" t="s">
        <v>165</v>
      </c>
      <c r="C62" s="2" t="s">
        <v>166</v>
      </c>
      <c r="D62" s="2">
        <v>50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3">
        <v>130000</v>
      </c>
      <c r="AG62" s="2" t="s">
        <v>167</v>
      </c>
      <c r="AH62" s="2" t="s">
        <v>36</v>
      </c>
    </row>
    <row r="63" spans="1:34" x14ac:dyDescent="0.3">
      <c r="A63" s="2">
        <v>61</v>
      </c>
      <c r="B63" s="2" t="s">
        <v>168</v>
      </c>
      <c r="C63" s="2" t="s">
        <v>166</v>
      </c>
      <c r="D63" s="2">
        <v>50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3">
        <v>680000</v>
      </c>
      <c r="AG63" s="2" t="s">
        <v>169</v>
      </c>
      <c r="AH63" s="2" t="s">
        <v>36</v>
      </c>
    </row>
    <row r="64" spans="1:34" x14ac:dyDescent="0.3">
      <c r="A64" s="2">
        <v>62</v>
      </c>
      <c r="B64" s="2" t="s">
        <v>170</v>
      </c>
      <c r="C64" s="2" t="s">
        <v>171</v>
      </c>
      <c r="D64" s="2">
        <v>51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3">
        <v>1100000</v>
      </c>
      <c r="AG64" s="2" t="s">
        <v>172</v>
      </c>
      <c r="AH64" s="2" t="s">
        <v>36</v>
      </c>
    </row>
    <row r="65" spans="1:34" x14ac:dyDescent="0.3">
      <c r="A65" s="2">
        <v>63</v>
      </c>
      <c r="B65" s="2" t="s">
        <v>173</v>
      </c>
      <c r="C65" s="2" t="s">
        <v>171</v>
      </c>
      <c r="D65" s="2">
        <v>51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3">
        <v>7900000</v>
      </c>
      <c r="AG65" s="2" t="s">
        <v>174</v>
      </c>
      <c r="AH65" s="2" t="s">
        <v>36</v>
      </c>
    </row>
    <row r="66" spans="1:34" x14ac:dyDescent="0.3">
      <c r="A66" s="2">
        <v>64</v>
      </c>
      <c r="B66" s="2" t="s">
        <v>175</v>
      </c>
      <c r="C66" s="2" t="s">
        <v>175</v>
      </c>
      <c r="D66" s="2">
        <v>52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3">
        <v>42000</v>
      </c>
      <c r="AG66" s="2" t="s">
        <v>176</v>
      </c>
      <c r="AH66" s="2" t="s">
        <v>32</v>
      </c>
    </row>
    <row r="67" spans="1:34" x14ac:dyDescent="0.3">
      <c r="A67" s="2">
        <v>65</v>
      </c>
      <c r="B67" s="2" t="s">
        <v>177</v>
      </c>
      <c r="C67" s="2" t="s">
        <v>178</v>
      </c>
      <c r="D67" s="2">
        <v>53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3">
        <v>2700000</v>
      </c>
      <c r="AG67" s="2" t="s">
        <v>179</v>
      </c>
      <c r="AH67" s="2" t="s">
        <v>36</v>
      </c>
    </row>
    <row r="68" spans="1:34" x14ac:dyDescent="0.3">
      <c r="A68" s="2">
        <v>66</v>
      </c>
      <c r="B68" s="2" t="s">
        <v>180</v>
      </c>
      <c r="C68" s="2" t="s">
        <v>180</v>
      </c>
      <c r="D68" s="2">
        <v>54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3">
        <v>37000</v>
      </c>
      <c r="AG68" s="2" t="s">
        <v>181</v>
      </c>
      <c r="AH68" s="2" t="s">
        <v>36</v>
      </c>
    </row>
    <row r="69" spans="1:34" x14ac:dyDescent="0.3">
      <c r="A69" s="2">
        <v>67</v>
      </c>
      <c r="B69" s="2" t="s">
        <v>182</v>
      </c>
      <c r="C69" s="2" t="s">
        <v>183</v>
      </c>
      <c r="D69" s="2">
        <v>55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3">
        <v>6200</v>
      </c>
      <c r="AG69" s="2" t="s">
        <v>184</v>
      </c>
      <c r="AH69" s="2" t="s">
        <v>36</v>
      </c>
    </row>
    <row r="70" spans="1:34" x14ac:dyDescent="0.3">
      <c r="A70" s="2">
        <v>68</v>
      </c>
      <c r="B70" s="2" t="s">
        <v>185</v>
      </c>
      <c r="C70" s="2" t="s">
        <v>183</v>
      </c>
      <c r="D70" s="2">
        <v>55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3">
        <v>12000</v>
      </c>
      <c r="AG70" s="2" t="s">
        <v>186</v>
      </c>
      <c r="AH70" s="2" t="s">
        <v>36</v>
      </c>
    </row>
    <row r="71" spans="1:34" x14ac:dyDescent="0.3">
      <c r="A71" s="2">
        <v>69</v>
      </c>
      <c r="B71" s="2" t="s">
        <v>187</v>
      </c>
      <c r="C71" s="2" t="s">
        <v>183</v>
      </c>
      <c r="D71" s="2">
        <v>55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3">
        <v>170000</v>
      </c>
      <c r="AG71" s="2" t="s">
        <v>188</v>
      </c>
      <c r="AH71" s="2" t="s">
        <v>36</v>
      </c>
    </row>
    <row r="72" spans="1:34" x14ac:dyDescent="0.3">
      <c r="A72" s="2">
        <v>70</v>
      </c>
      <c r="B72" s="2" t="s">
        <v>189</v>
      </c>
      <c r="C72" s="2" t="s">
        <v>190</v>
      </c>
      <c r="D72" s="2">
        <v>56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3">
        <v>120000</v>
      </c>
      <c r="AG72" s="2" t="s">
        <v>191</v>
      </c>
      <c r="AH72" s="2" t="s">
        <v>36</v>
      </c>
    </row>
    <row r="73" spans="1:34" x14ac:dyDescent="0.3">
      <c r="A73" s="2">
        <v>71</v>
      </c>
      <c r="B73" s="2" t="s">
        <v>192</v>
      </c>
      <c r="C73" s="2" t="s">
        <v>192</v>
      </c>
      <c r="D73" s="2">
        <v>57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3">
        <v>870000</v>
      </c>
      <c r="AG73" s="2" t="s">
        <v>193</v>
      </c>
      <c r="AH73" s="2" t="s">
        <v>32</v>
      </c>
    </row>
    <row r="74" spans="1:34" x14ac:dyDescent="0.3">
      <c r="A74" s="2">
        <v>72</v>
      </c>
      <c r="B74" s="2" t="s">
        <v>194</v>
      </c>
      <c r="C74" s="2" t="s">
        <v>194</v>
      </c>
      <c r="D74" s="2">
        <v>58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3">
        <v>10</v>
      </c>
      <c r="AG74" s="2" t="s">
        <v>195</v>
      </c>
      <c r="AH74" s="2" t="s">
        <v>36</v>
      </c>
    </row>
    <row r="75" spans="1:34" x14ac:dyDescent="0.3">
      <c r="A75" s="2">
        <v>73</v>
      </c>
      <c r="B75" s="2" t="s">
        <v>196</v>
      </c>
      <c r="C75" s="2" t="s">
        <v>196</v>
      </c>
      <c r="D75" s="2">
        <v>59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3">
        <v>10000</v>
      </c>
      <c r="AG75" s="2" t="s">
        <v>197</v>
      </c>
      <c r="AH75" s="2" t="s">
        <v>32</v>
      </c>
    </row>
    <row r="76" spans="1:34" x14ac:dyDescent="0.3">
      <c r="A76" s="2">
        <v>74</v>
      </c>
      <c r="B76" s="2" t="s">
        <v>198</v>
      </c>
      <c r="C76" s="2" t="s">
        <v>198</v>
      </c>
      <c r="D76" s="2">
        <v>60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3">
        <v>59000</v>
      </c>
      <c r="AG76" s="2" t="s">
        <v>199</v>
      </c>
      <c r="AH76" s="2" t="s">
        <v>32</v>
      </c>
    </row>
    <row r="77" spans="1:34" x14ac:dyDescent="0.3">
      <c r="A77" s="2">
        <v>75</v>
      </c>
      <c r="B77" s="2" t="s">
        <v>200</v>
      </c>
      <c r="C77" s="2" t="s">
        <v>200</v>
      </c>
      <c r="D77" s="2">
        <v>61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3">
        <v>200</v>
      </c>
      <c r="AG77" s="2" t="s">
        <v>201</v>
      </c>
      <c r="AH77" s="2" t="s">
        <v>36</v>
      </c>
    </row>
    <row r="78" spans="1:34" x14ac:dyDescent="0.3">
      <c r="A78" s="2">
        <v>76</v>
      </c>
      <c r="B78" s="2" t="s">
        <v>202</v>
      </c>
      <c r="C78" s="2" t="s">
        <v>202</v>
      </c>
      <c r="D78" s="2">
        <v>62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3">
        <v>800000</v>
      </c>
      <c r="AG78" s="2" t="s">
        <v>203</v>
      </c>
      <c r="AH78" s="2" t="s">
        <v>32</v>
      </c>
    </row>
    <row r="79" spans="1:34" x14ac:dyDescent="0.3">
      <c r="A79" s="2">
        <v>77</v>
      </c>
      <c r="B79" s="2" t="s">
        <v>204</v>
      </c>
      <c r="C79" s="2" t="s">
        <v>205</v>
      </c>
      <c r="D79" s="2">
        <v>63</v>
      </c>
      <c r="E79" s="2">
        <v>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3">
        <v>440000</v>
      </c>
      <c r="AG79" s="2" t="s">
        <v>206</v>
      </c>
      <c r="AH79" s="2" t="s">
        <v>32</v>
      </c>
    </row>
    <row r="80" spans="1:34" x14ac:dyDescent="0.3">
      <c r="A80" s="2">
        <v>78</v>
      </c>
      <c r="B80" s="2" t="s">
        <v>207</v>
      </c>
      <c r="C80" s="2" t="s">
        <v>205</v>
      </c>
      <c r="D80" s="2">
        <v>63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3">
        <v>2300000</v>
      </c>
      <c r="AG80" s="2" t="s">
        <v>208</v>
      </c>
      <c r="AH80" s="2" t="s">
        <v>32</v>
      </c>
    </row>
    <row r="81" spans="1:34" x14ac:dyDescent="0.3">
      <c r="A81" s="2">
        <v>79</v>
      </c>
      <c r="B81" s="2" t="s">
        <v>209</v>
      </c>
      <c r="C81" s="2" t="s">
        <v>209</v>
      </c>
      <c r="D81" s="2">
        <v>64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3">
        <v>780000</v>
      </c>
      <c r="AG81" s="2" t="s">
        <v>210</v>
      </c>
      <c r="AH81" s="2" t="s">
        <v>32</v>
      </c>
    </row>
    <row r="82" spans="1:34" x14ac:dyDescent="0.3">
      <c r="A82" s="2">
        <v>80</v>
      </c>
      <c r="B82" s="2" t="s">
        <v>211</v>
      </c>
      <c r="C82" s="2" t="s">
        <v>211</v>
      </c>
      <c r="D82" s="2">
        <v>65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3">
        <v>180000</v>
      </c>
      <c r="AG82" s="2" t="s">
        <v>212</v>
      </c>
      <c r="AH82" s="2" t="s">
        <v>32</v>
      </c>
    </row>
    <row r="83" spans="1:34" x14ac:dyDescent="0.3">
      <c r="A83" s="2">
        <v>81</v>
      </c>
      <c r="B83" s="2" t="s">
        <v>213</v>
      </c>
      <c r="C83" s="2" t="s">
        <v>213</v>
      </c>
      <c r="D83" s="2">
        <v>66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3">
        <v>300000</v>
      </c>
      <c r="AG83" s="2" t="s">
        <v>214</v>
      </c>
      <c r="AH83" s="2" t="s">
        <v>36</v>
      </c>
    </row>
    <row r="84" spans="1:34" x14ac:dyDescent="0.3">
      <c r="A84" s="2">
        <v>82</v>
      </c>
      <c r="B84" s="2" t="s">
        <v>215</v>
      </c>
      <c r="C84" s="2" t="s">
        <v>215</v>
      </c>
      <c r="D84" s="2">
        <v>67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3">
        <v>9900000</v>
      </c>
      <c r="AG84" s="2" t="s">
        <v>216</v>
      </c>
      <c r="AH84" s="2" t="s">
        <v>36</v>
      </c>
    </row>
    <row r="85" spans="1:34" x14ac:dyDescent="0.3">
      <c r="A85" s="2">
        <v>83</v>
      </c>
      <c r="B85" s="2" t="s">
        <v>217</v>
      </c>
      <c r="C85" s="2" t="s">
        <v>217</v>
      </c>
      <c r="D85" s="2">
        <v>68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3">
        <v>300</v>
      </c>
      <c r="AG85" s="2" t="s">
        <v>218</v>
      </c>
      <c r="AH85" s="2" t="s">
        <v>32</v>
      </c>
    </row>
    <row r="86" spans="1:34" x14ac:dyDescent="0.3">
      <c r="A86" s="2">
        <v>84</v>
      </c>
      <c r="B86" s="2" t="s">
        <v>219</v>
      </c>
      <c r="C86" s="2" t="s">
        <v>219</v>
      </c>
      <c r="D86" s="2">
        <v>69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3">
        <v>270</v>
      </c>
      <c r="AG86" s="2" t="s">
        <v>220</v>
      </c>
      <c r="AH86" s="2" t="s">
        <v>36</v>
      </c>
    </row>
    <row r="87" spans="1:34" x14ac:dyDescent="0.3">
      <c r="A87" s="2">
        <v>85</v>
      </c>
      <c r="B87" s="2" t="s">
        <v>221</v>
      </c>
      <c r="C87" s="2" t="s">
        <v>221</v>
      </c>
      <c r="D87" s="2">
        <v>70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3">
        <v>0.1</v>
      </c>
      <c r="AG87" s="2" t="s">
        <v>222</v>
      </c>
      <c r="AH87" s="2" t="s">
        <v>36</v>
      </c>
    </row>
    <row r="88" spans="1:34" x14ac:dyDescent="0.3">
      <c r="A88" s="2">
        <v>86</v>
      </c>
      <c r="B88" s="2" t="s">
        <v>223</v>
      </c>
      <c r="C88" s="2" t="s">
        <v>223</v>
      </c>
      <c r="D88" s="2">
        <v>71</v>
      </c>
      <c r="E88" s="2">
        <v>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3">
        <v>1000000</v>
      </c>
      <c r="AG88" s="2" t="s">
        <v>224</v>
      </c>
      <c r="AH88" s="2" t="s">
        <v>36</v>
      </c>
    </row>
    <row r="89" spans="1:34" x14ac:dyDescent="0.3">
      <c r="A89" s="2">
        <v>87</v>
      </c>
      <c r="B89" s="2" t="s">
        <v>225</v>
      </c>
      <c r="C89" s="2" t="s">
        <v>225</v>
      </c>
      <c r="D89" s="2">
        <v>72</v>
      </c>
      <c r="E89" s="2">
        <v>1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3">
        <v>15.8</v>
      </c>
      <c r="AG89" s="2" t="s">
        <v>226</v>
      </c>
      <c r="AH89" s="2" t="s">
        <v>36</v>
      </c>
    </row>
    <row r="90" spans="1:34" x14ac:dyDescent="0.3">
      <c r="A90" s="2">
        <v>88</v>
      </c>
      <c r="B90" s="2" t="s">
        <v>227</v>
      </c>
      <c r="C90" s="2" t="s">
        <v>228</v>
      </c>
      <c r="D90" s="2">
        <v>73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3">
        <v>77000</v>
      </c>
      <c r="AG90" s="2" t="s">
        <v>229</v>
      </c>
      <c r="AH90" s="2" t="s">
        <v>36</v>
      </c>
    </row>
    <row r="91" spans="1:34" x14ac:dyDescent="0.3">
      <c r="A91" s="2">
        <v>89</v>
      </c>
      <c r="B91" s="2" t="s">
        <v>230</v>
      </c>
      <c r="C91" s="2" t="s">
        <v>230</v>
      </c>
      <c r="D91" s="2">
        <v>74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3">
        <v>160000</v>
      </c>
      <c r="AG91" s="2" t="s">
        <v>231</v>
      </c>
      <c r="AH91" s="2" t="s">
        <v>36</v>
      </c>
    </row>
    <row r="92" spans="1:34" x14ac:dyDescent="0.3">
      <c r="A92" s="2">
        <v>90</v>
      </c>
      <c r="B92" s="2" t="s">
        <v>232</v>
      </c>
      <c r="C92" s="2" t="s">
        <v>232</v>
      </c>
      <c r="D92" s="2">
        <v>75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3">
        <v>10000</v>
      </c>
      <c r="AG92" s="2" t="s">
        <v>233</v>
      </c>
      <c r="AH92" s="2" t="s">
        <v>36</v>
      </c>
    </row>
    <row r="93" spans="1:34" x14ac:dyDescent="0.3">
      <c r="A93" s="2">
        <v>91</v>
      </c>
      <c r="B93" s="2" t="s">
        <v>234</v>
      </c>
      <c r="C93" s="2" t="s">
        <v>234</v>
      </c>
      <c r="D93" s="2">
        <v>76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3">
        <v>14000</v>
      </c>
      <c r="AG93" s="2" t="s">
        <v>235</v>
      </c>
      <c r="AH93" s="2" t="s">
        <v>32</v>
      </c>
    </row>
    <row r="94" spans="1:34" x14ac:dyDescent="0.3">
      <c r="A94" s="2">
        <v>92</v>
      </c>
      <c r="B94" s="2" t="s">
        <v>236</v>
      </c>
      <c r="C94" s="2" t="s">
        <v>237</v>
      </c>
      <c r="D94" s="2">
        <v>77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3">
        <v>10000</v>
      </c>
      <c r="AG94" s="2" t="s">
        <v>238</v>
      </c>
      <c r="AH94" s="2" t="s">
        <v>36</v>
      </c>
    </row>
    <row r="95" spans="1:34" x14ac:dyDescent="0.3">
      <c r="A95" s="2">
        <v>93</v>
      </c>
      <c r="B95" s="2" t="s">
        <v>239</v>
      </c>
      <c r="C95" s="2" t="s">
        <v>237</v>
      </c>
      <c r="D95" s="2">
        <v>77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3">
        <v>27000</v>
      </c>
      <c r="AG95" s="2" t="s">
        <v>240</v>
      </c>
      <c r="AH95" s="2" t="s">
        <v>36</v>
      </c>
    </row>
    <row r="96" spans="1:34" x14ac:dyDescent="0.3">
      <c r="A96" s="2">
        <v>94</v>
      </c>
      <c r="B96" s="2" t="s">
        <v>241</v>
      </c>
      <c r="C96" s="2" t="s">
        <v>237</v>
      </c>
      <c r="D96" s="2">
        <v>77</v>
      </c>
      <c r="E96" s="2">
        <v>1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3">
        <v>100000</v>
      </c>
      <c r="AG96" s="2" t="s">
        <v>242</v>
      </c>
      <c r="AH96" s="2" t="s">
        <v>32</v>
      </c>
    </row>
    <row r="97" spans="1:34" x14ac:dyDescent="0.3">
      <c r="A97" s="2">
        <v>95</v>
      </c>
      <c r="B97" s="2" t="s">
        <v>243</v>
      </c>
      <c r="C97" s="2" t="s">
        <v>244</v>
      </c>
      <c r="D97" s="2">
        <v>78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3">
        <v>8300</v>
      </c>
      <c r="AG97" s="2" t="s">
        <v>245</v>
      </c>
      <c r="AH97" s="2" t="s">
        <v>36</v>
      </c>
    </row>
    <row r="98" spans="1:34" x14ac:dyDescent="0.3">
      <c r="A98" s="2">
        <v>96</v>
      </c>
      <c r="B98" s="2" t="s">
        <v>246</v>
      </c>
      <c r="C98" s="2" t="s">
        <v>246</v>
      </c>
      <c r="D98" s="2">
        <v>79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3">
        <v>26000</v>
      </c>
      <c r="AG98" s="2" t="s">
        <v>247</v>
      </c>
      <c r="AH98" s="2" t="s">
        <v>36</v>
      </c>
    </row>
    <row r="99" spans="1:34" x14ac:dyDescent="0.3">
      <c r="A99" s="2">
        <v>97</v>
      </c>
      <c r="B99" s="2" t="s">
        <v>248</v>
      </c>
      <c r="C99" s="2" t="s">
        <v>248</v>
      </c>
      <c r="D99" s="2">
        <v>80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3">
        <v>540</v>
      </c>
      <c r="AG99" s="2" t="s">
        <v>249</v>
      </c>
      <c r="AH99" s="2" t="s">
        <v>36</v>
      </c>
    </row>
    <row r="100" spans="1:34" x14ac:dyDescent="0.3">
      <c r="A100" s="2">
        <v>98</v>
      </c>
      <c r="B100" s="2" t="s">
        <v>250</v>
      </c>
      <c r="C100" s="2" t="s">
        <v>250</v>
      </c>
      <c r="D100" s="2">
        <v>81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3">
        <v>560</v>
      </c>
      <c r="AG100" s="2" t="s">
        <v>251</v>
      </c>
      <c r="AH100" s="2" t="s">
        <v>36</v>
      </c>
    </row>
    <row r="101" spans="1:34" x14ac:dyDescent="0.3">
      <c r="A101" s="2">
        <v>99</v>
      </c>
      <c r="B101" s="2" t="s">
        <v>252</v>
      </c>
      <c r="C101" s="2" t="s">
        <v>252</v>
      </c>
      <c r="D101" s="2">
        <v>82</v>
      </c>
      <c r="E101" s="2">
        <v>1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3">
        <v>2200</v>
      </c>
      <c r="AG101" s="2" t="s">
        <v>253</v>
      </c>
      <c r="AH101" s="2" t="s">
        <v>36</v>
      </c>
    </row>
    <row r="102" spans="1:34" x14ac:dyDescent="0.3">
      <c r="A102" s="2">
        <v>100</v>
      </c>
      <c r="B102" s="2" t="s">
        <v>254</v>
      </c>
      <c r="C102" s="2" t="s">
        <v>254</v>
      </c>
      <c r="D102" s="2">
        <v>83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3">
        <v>1400</v>
      </c>
      <c r="AG102" s="2" t="s">
        <v>255</v>
      </c>
      <c r="AH102" s="2" t="s">
        <v>36</v>
      </c>
    </row>
    <row r="103" spans="1:34" x14ac:dyDescent="0.3">
      <c r="A103" s="2">
        <v>101</v>
      </c>
      <c r="B103" s="2" t="s">
        <v>256</v>
      </c>
      <c r="C103" s="2" t="s">
        <v>257</v>
      </c>
      <c r="D103" s="2">
        <v>84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3">
        <v>410000</v>
      </c>
      <c r="AG103" s="2" t="s">
        <v>258</v>
      </c>
      <c r="AH103" s="2" t="s">
        <v>36</v>
      </c>
    </row>
    <row r="104" spans="1:34" x14ac:dyDescent="0.3">
      <c r="A104" s="2">
        <v>102</v>
      </c>
      <c r="B104" s="2" t="s">
        <v>259</v>
      </c>
      <c r="C104" s="2" t="s">
        <v>260</v>
      </c>
      <c r="D104" s="2">
        <v>85</v>
      </c>
      <c r="E104" s="2">
        <v>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3">
        <v>28000</v>
      </c>
      <c r="AG104" s="2" t="s">
        <v>261</v>
      </c>
      <c r="AH104" s="2" t="s">
        <v>32</v>
      </c>
    </row>
    <row r="105" spans="1:34" x14ac:dyDescent="0.3">
      <c r="A105" s="2">
        <v>103</v>
      </c>
      <c r="B105" s="2" t="s">
        <v>262</v>
      </c>
      <c r="C105" s="2" t="s">
        <v>263</v>
      </c>
      <c r="D105" s="2">
        <v>86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3">
        <v>16000</v>
      </c>
      <c r="AG105" s="2" t="s">
        <v>264</v>
      </c>
      <c r="AH105" s="2" t="s">
        <v>36</v>
      </c>
    </row>
    <row r="106" spans="1:34" x14ac:dyDescent="0.3">
      <c r="A106" s="2">
        <v>104</v>
      </c>
      <c r="B106" s="2" t="s">
        <v>265</v>
      </c>
      <c r="C106" s="2" t="s">
        <v>266</v>
      </c>
      <c r="D106" s="2">
        <v>87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3">
        <v>4400</v>
      </c>
      <c r="AG106" s="2" t="s">
        <v>267</v>
      </c>
      <c r="AH106" s="2" t="s">
        <v>36</v>
      </c>
    </row>
    <row r="107" spans="1:34" x14ac:dyDescent="0.3">
      <c r="A107" s="2">
        <v>105</v>
      </c>
      <c r="B107" s="2" t="s">
        <v>268</v>
      </c>
      <c r="C107" s="2" t="s">
        <v>269</v>
      </c>
      <c r="D107" s="2">
        <v>88</v>
      </c>
      <c r="E107" s="2">
        <v>1</v>
      </c>
      <c r="F107" s="2">
        <v>0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3">
        <v>189000</v>
      </c>
      <c r="AG107" s="2" t="s">
        <v>270</v>
      </c>
      <c r="AH107" s="2" t="s">
        <v>32</v>
      </c>
    </row>
    <row r="108" spans="1:34" x14ac:dyDescent="0.3">
      <c r="A108" s="2">
        <v>106</v>
      </c>
      <c r="B108" s="2" t="s">
        <v>271</v>
      </c>
      <c r="C108" s="2" t="s">
        <v>272</v>
      </c>
      <c r="D108" s="2">
        <v>89</v>
      </c>
      <c r="E108" s="2">
        <v>1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0</v>
      </c>
      <c r="AE108" s="2">
        <v>0</v>
      </c>
      <c r="AF108" s="3">
        <v>93000</v>
      </c>
      <c r="AG108" s="2" t="s">
        <v>273</v>
      </c>
      <c r="AH108" s="2" t="s">
        <v>36</v>
      </c>
    </row>
    <row r="109" spans="1:34" x14ac:dyDescent="0.3">
      <c r="A109" s="2">
        <v>107</v>
      </c>
      <c r="B109" s="2" t="s">
        <v>274</v>
      </c>
      <c r="C109" s="2" t="s">
        <v>272</v>
      </c>
      <c r="D109" s="2">
        <v>89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</v>
      </c>
      <c r="AD109" s="2">
        <v>0</v>
      </c>
      <c r="AE109" s="2">
        <v>0</v>
      </c>
      <c r="AF109" s="3">
        <v>82000</v>
      </c>
      <c r="AG109" s="2" t="s">
        <v>275</v>
      </c>
      <c r="AH109" s="2" t="s">
        <v>36</v>
      </c>
    </row>
    <row r="110" spans="1:34" x14ac:dyDescent="0.3">
      <c r="A110" s="2">
        <v>108</v>
      </c>
      <c r="B110" s="2" t="s">
        <v>276</v>
      </c>
      <c r="C110" s="2" t="s">
        <v>276</v>
      </c>
      <c r="D110" s="2">
        <v>90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3">
        <v>490</v>
      </c>
      <c r="AG110" s="2" t="s">
        <v>277</v>
      </c>
      <c r="AH110" s="2" t="s">
        <v>36</v>
      </c>
    </row>
    <row r="111" spans="1:34" x14ac:dyDescent="0.3">
      <c r="A111" s="2">
        <v>109</v>
      </c>
      <c r="B111" s="2" t="s">
        <v>278</v>
      </c>
      <c r="C111" s="2" t="s">
        <v>279</v>
      </c>
      <c r="D111" s="2">
        <v>91</v>
      </c>
      <c r="E111" s="2">
        <v>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3">
        <v>180</v>
      </c>
      <c r="AG111" s="2" t="s">
        <v>280</v>
      </c>
      <c r="AH111" s="2" t="s">
        <v>36</v>
      </c>
    </row>
    <row r="112" spans="1:34" x14ac:dyDescent="0.3">
      <c r="A112" s="2">
        <v>110</v>
      </c>
      <c r="B112" s="2" t="s">
        <v>281</v>
      </c>
      <c r="C112" s="2" t="s">
        <v>279</v>
      </c>
      <c r="D112" s="2">
        <v>91</v>
      </c>
      <c r="E112" s="2">
        <v>0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3">
        <v>620</v>
      </c>
      <c r="AG112" s="2" t="s">
        <v>282</v>
      </c>
      <c r="AH112" s="2" t="s">
        <v>36</v>
      </c>
    </row>
    <row r="113" spans="1:34" x14ac:dyDescent="0.3">
      <c r="A113" s="2">
        <v>111</v>
      </c>
      <c r="B113" s="2" t="s">
        <v>283</v>
      </c>
      <c r="C113" s="2" t="s">
        <v>283</v>
      </c>
      <c r="D113" s="2">
        <v>92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3">
        <v>160</v>
      </c>
      <c r="AG113" s="2" t="s">
        <v>284</v>
      </c>
      <c r="AH113" s="2" t="s">
        <v>36</v>
      </c>
    </row>
    <row r="114" spans="1:34" x14ac:dyDescent="0.3">
      <c r="A114" s="2">
        <v>112</v>
      </c>
      <c r="B114" s="2" t="s">
        <v>285</v>
      </c>
      <c r="C114" s="2" t="s">
        <v>285</v>
      </c>
      <c r="D114" s="2">
        <v>93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3">
        <v>200</v>
      </c>
      <c r="AG114" s="2" t="s">
        <v>286</v>
      </c>
      <c r="AH114" s="2" t="s">
        <v>36</v>
      </c>
    </row>
    <row r="115" spans="1:34" x14ac:dyDescent="0.3">
      <c r="A115" s="2">
        <v>113</v>
      </c>
      <c r="B115" s="2" t="s">
        <v>287</v>
      </c>
      <c r="C115" s="2" t="s">
        <v>288</v>
      </c>
      <c r="D115" s="2">
        <v>94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3">
        <v>1.2</v>
      </c>
      <c r="AG115" s="2" t="s">
        <v>289</v>
      </c>
      <c r="AH115" s="2" t="s">
        <v>36</v>
      </c>
    </row>
    <row r="116" spans="1:34" x14ac:dyDescent="0.3">
      <c r="A116" s="2">
        <v>114</v>
      </c>
      <c r="B116" s="2" t="s">
        <v>290</v>
      </c>
      <c r="C116" s="2" t="s">
        <v>288</v>
      </c>
      <c r="D116" s="2">
        <v>94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3">
        <v>8500</v>
      </c>
      <c r="AG116" s="2" t="s">
        <v>291</v>
      </c>
      <c r="AH116" s="2" t="s">
        <v>32</v>
      </c>
    </row>
    <row r="117" spans="1:34" x14ac:dyDescent="0.3">
      <c r="A117" s="2">
        <v>115</v>
      </c>
      <c r="B117" s="2" t="s">
        <v>292</v>
      </c>
      <c r="C117" s="2" t="s">
        <v>293</v>
      </c>
      <c r="D117" s="2">
        <v>95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3">
        <v>900000</v>
      </c>
      <c r="AG117" s="2" t="s">
        <v>294</v>
      </c>
      <c r="AH117" s="2" t="s">
        <v>36</v>
      </c>
    </row>
    <row r="118" spans="1:34" x14ac:dyDescent="0.3">
      <c r="A118" s="2">
        <v>116</v>
      </c>
      <c r="B118" s="2" t="s">
        <v>295</v>
      </c>
      <c r="C118" s="2" t="s">
        <v>293</v>
      </c>
      <c r="D118" s="2">
        <v>95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3">
        <v>420</v>
      </c>
      <c r="AG118" s="2" t="s">
        <v>296</v>
      </c>
      <c r="AH118" s="2" t="s">
        <v>36</v>
      </c>
    </row>
    <row r="119" spans="1:34" x14ac:dyDescent="0.3">
      <c r="A119" s="2">
        <v>117</v>
      </c>
      <c r="B119" s="2" t="s">
        <v>297</v>
      </c>
      <c r="C119" s="2" t="s">
        <v>298</v>
      </c>
      <c r="D119" s="2">
        <v>96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3">
        <v>780000</v>
      </c>
      <c r="AG119" s="2" t="s">
        <v>299</v>
      </c>
      <c r="AH119" s="2" t="s">
        <v>36</v>
      </c>
    </row>
    <row r="120" spans="1:34" x14ac:dyDescent="0.3">
      <c r="A120" s="2">
        <v>118</v>
      </c>
      <c r="B120" s="2" t="s">
        <v>300</v>
      </c>
      <c r="C120" s="2" t="s">
        <v>298</v>
      </c>
      <c r="D120" s="2">
        <v>96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3">
        <v>330</v>
      </c>
      <c r="AG120" s="2" t="s">
        <v>301</v>
      </c>
      <c r="AH120" s="2" t="s">
        <v>36</v>
      </c>
    </row>
    <row r="121" spans="1:34" x14ac:dyDescent="0.3">
      <c r="A121" s="2">
        <v>119</v>
      </c>
      <c r="B121" s="2" t="s">
        <v>302</v>
      </c>
      <c r="C121" s="2" t="s">
        <v>303</v>
      </c>
      <c r="D121" s="2">
        <v>97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3">
        <v>1300000</v>
      </c>
      <c r="AG121" s="2" t="s">
        <v>304</v>
      </c>
      <c r="AH121" s="2" t="s">
        <v>36</v>
      </c>
    </row>
    <row r="122" spans="1:34" x14ac:dyDescent="0.3">
      <c r="A122" s="2">
        <v>120</v>
      </c>
      <c r="B122" s="2" t="s">
        <v>305</v>
      </c>
      <c r="C122" s="2" t="s">
        <v>303</v>
      </c>
      <c r="D122" s="2">
        <v>97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3">
        <v>14000</v>
      </c>
      <c r="AG122" s="2" t="s">
        <v>306</v>
      </c>
      <c r="AH122" s="2" t="s">
        <v>36</v>
      </c>
    </row>
    <row r="123" spans="1:34" x14ac:dyDescent="0.3">
      <c r="A123" s="2">
        <v>121</v>
      </c>
      <c r="B123" s="2" t="s">
        <v>307</v>
      </c>
      <c r="C123" s="2" t="s">
        <v>303</v>
      </c>
      <c r="D123" s="2">
        <v>97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3">
        <v>1300</v>
      </c>
      <c r="AG123" s="2" t="s">
        <v>308</v>
      </c>
      <c r="AH123" s="2" t="s">
        <v>36</v>
      </c>
    </row>
    <row r="124" spans="1:34" x14ac:dyDescent="0.3">
      <c r="A124" s="2">
        <v>122</v>
      </c>
      <c r="B124" s="2" t="s">
        <v>309</v>
      </c>
      <c r="C124" s="2" t="s">
        <v>310</v>
      </c>
      <c r="D124" s="2">
        <v>98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3">
        <v>450000</v>
      </c>
      <c r="AG124" s="2" t="s">
        <v>311</v>
      </c>
      <c r="AH124" s="2" t="s">
        <v>36</v>
      </c>
    </row>
    <row r="125" spans="1:34" x14ac:dyDescent="0.3">
      <c r="A125" s="2">
        <v>123</v>
      </c>
      <c r="B125" s="2" t="s">
        <v>312</v>
      </c>
      <c r="C125" s="2" t="s">
        <v>310</v>
      </c>
      <c r="D125" s="2">
        <v>98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3">
        <v>8600</v>
      </c>
      <c r="AG125" s="2" t="s">
        <v>313</v>
      </c>
      <c r="AH125" s="2" t="s">
        <v>36</v>
      </c>
    </row>
    <row r="126" spans="1:34" x14ac:dyDescent="0.3">
      <c r="A126" s="2">
        <v>124</v>
      </c>
      <c r="B126" s="2" t="s">
        <v>314</v>
      </c>
      <c r="C126" s="2" t="s">
        <v>310</v>
      </c>
      <c r="D126" s="2">
        <v>98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3">
        <v>720</v>
      </c>
      <c r="AG126" s="2" t="s">
        <v>315</v>
      </c>
      <c r="AH126" s="2" t="s">
        <v>36</v>
      </c>
    </row>
    <row r="127" spans="1:34" x14ac:dyDescent="0.3">
      <c r="A127" s="2">
        <v>125</v>
      </c>
      <c r="B127" s="2" t="s">
        <v>316</v>
      </c>
      <c r="C127" s="2" t="s">
        <v>317</v>
      </c>
      <c r="D127" s="2">
        <v>99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3">
        <v>1100000</v>
      </c>
      <c r="AG127" s="2" t="s">
        <v>318</v>
      </c>
      <c r="AH127" s="2" t="s">
        <v>36</v>
      </c>
    </row>
    <row r="128" spans="1:34" x14ac:dyDescent="0.3">
      <c r="A128" s="2">
        <v>126</v>
      </c>
      <c r="B128" s="2" t="s">
        <v>319</v>
      </c>
      <c r="C128" s="2" t="s">
        <v>317</v>
      </c>
      <c r="D128" s="2">
        <v>99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3">
        <v>1</v>
      </c>
      <c r="AG128" s="2" t="s">
        <v>320</v>
      </c>
      <c r="AH128" s="2" t="s">
        <v>36</v>
      </c>
    </row>
    <row r="129" spans="1:34" x14ac:dyDescent="0.3">
      <c r="A129" s="2">
        <v>127</v>
      </c>
      <c r="B129" s="2" t="s">
        <v>321</v>
      </c>
      <c r="C129" s="2" t="s">
        <v>322</v>
      </c>
      <c r="D129" s="2">
        <v>100</v>
      </c>
      <c r="E129" s="2">
        <v>0</v>
      </c>
      <c r="F129" s="2">
        <v>0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3">
        <v>100000</v>
      </c>
      <c r="AG129" s="2" t="s">
        <v>323</v>
      </c>
      <c r="AH129" s="2" t="s">
        <v>36</v>
      </c>
    </row>
    <row r="130" spans="1:34" x14ac:dyDescent="0.3">
      <c r="A130" s="2">
        <v>128</v>
      </c>
      <c r="B130" s="2" t="s">
        <v>324</v>
      </c>
      <c r="C130" s="2" t="s">
        <v>325</v>
      </c>
      <c r="D130" s="2">
        <v>101</v>
      </c>
      <c r="E130" s="2">
        <v>0</v>
      </c>
      <c r="F130" s="2">
        <v>0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3">
        <v>24000</v>
      </c>
      <c r="AG130" s="2" t="s">
        <v>326</v>
      </c>
      <c r="AH130" s="2" t="s">
        <v>36</v>
      </c>
    </row>
    <row r="131" spans="1:34" x14ac:dyDescent="0.3">
      <c r="A131" s="2">
        <v>129</v>
      </c>
      <c r="B131" s="2" t="s">
        <v>327</v>
      </c>
      <c r="C131" s="2" t="s">
        <v>328</v>
      </c>
      <c r="D131" s="2">
        <v>102</v>
      </c>
      <c r="E131" s="2">
        <v>0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3">
        <v>70000</v>
      </c>
      <c r="AG131" s="2" t="s">
        <v>329</v>
      </c>
      <c r="AH131" s="2" t="s">
        <v>36</v>
      </c>
    </row>
    <row r="132" spans="1:34" x14ac:dyDescent="0.3">
      <c r="A132" s="2">
        <v>130</v>
      </c>
      <c r="B132" s="2" t="s">
        <v>330</v>
      </c>
      <c r="C132" s="2" t="s">
        <v>331</v>
      </c>
      <c r="D132" s="2">
        <v>103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3">
        <v>62000</v>
      </c>
      <c r="AG132" s="2" t="s">
        <v>332</v>
      </c>
      <c r="AH132" s="2" t="s">
        <v>36</v>
      </c>
    </row>
    <row r="133" spans="1:34" x14ac:dyDescent="0.3">
      <c r="A133" s="2">
        <v>131</v>
      </c>
      <c r="B133" s="2" t="s">
        <v>333</v>
      </c>
      <c r="C133" s="2" t="s">
        <v>334</v>
      </c>
      <c r="D133" s="2">
        <v>104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3">
        <v>47000</v>
      </c>
      <c r="AG133" s="2" t="s">
        <v>335</v>
      </c>
      <c r="AH133" s="2" t="s">
        <v>36</v>
      </c>
    </row>
    <row r="134" spans="1:34" x14ac:dyDescent="0.3">
      <c r="A134" s="2">
        <v>132</v>
      </c>
      <c r="B134" s="2" t="s">
        <v>336</v>
      </c>
      <c r="C134" s="2" t="s">
        <v>337</v>
      </c>
      <c r="D134" s="2">
        <v>105</v>
      </c>
      <c r="E134" s="2">
        <v>0</v>
      </c>
      <c r="F134" s="2">
        <v>0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3">
        <v>57000</v>
      </c>
      <c r="AG134" s="2" t="s">
        <v>338</v>
      </c>
      <c r="AH134" s="2" t="s">
        <v>32</v>
      </c>
    </row>
    <row r="135" spans="1:34" x14ac:dyDescent="0.3">
      <c r="A135" s="2">
        <v>133</v>
      </c>
      <c r="B135" s="2" t="s">
        <v>339</v>
      </c>
      <c r="C135" s="2" t="s">
        <v>340</v>
      </c>
      <c r="D135" s="2">
        <v>106</v>
      </c>
      <c r="E135" s="2">
        <v>0</v>
      </c>
      <c r="F135" s="2">
        <v>0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3">
        <v>42000</v>
      </c>
      <c r="AG135" s="2" t="s">
        <v>341</v>
      </c>
      <c r="AH135" s="2" t="s">
        <v>36</v>
      </c>
    </row>
    <row r="136" spans="1:34" x14ac:dyDescent="0.3">
      <c r="A136" s="2">
        <v>134</v>
      </c>
      <c r="B136" s="2" t="s">
        <v>342</v>
      </c>
      <c r="C136" s="2" t="s">
        <v>343</v>
      </c>
      <c r="D136" s="2">
        <v>107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3">
        <v>41000</v>
      </c>
      <c r="AG136" s="2" t="s">
        <v>344</v>
      </c>
      <c r="AH136" s="2" t="s">
        <v>36</v>
      </c>
    </row>
    <row r="137" spans="1:34" x14ac:dyDescent="0.3">
      <c r="A137" s="2">
        <v>135</v>
      </c>
      <c r="B137" s="2" t="s">
        <v>345</v>
      </c>
      <c r="C137" s="2" t="s">
        <v>346</v>
      </c>
      <c r="D137" s="2">
        <v>108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3">
        <v>63000</v>
      </c>
      <c r="AG137" s="2" t="s">
        <v>347</v>
      </c>
      <c r="AH137" s="2" t="s">
        <v>36</v>
      </c>
    </row>
    <row r="138" spans="1:34" x14ac:dyDescent="0.3">
      <c r="A138" s="2">
        <v>136</v>
      </c>
      <c r="B138" s="2" t="s">
        <v>348</v>
      </c>
      <c r="C138" s="2" t="s">
        <v>349</v>
      </c>
      <c r="D138" s="2">
        <v>109</v>
      </c>
      <c r="E138" s="2">
        <v>0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3">
        <v>145000</v>
      </c>
      <c r="AG138" s="2" t="s">
        <v>350</v>
      </c>
      <c r="AH138" s="2" t="s">
        <v>36</v>
      </c>
    </row>
    <row r="139" spans="1:34" x14ac:dyDescent="0.3">
      <c r="A139" s="2">
        <v>137</v>
      </c>
      <c r="B139" s="2" t="s">
        <v>351</v>
      </c>
      <c r="C139" s="2" t="s">
        <v>352</v>
      </c>
      <c r="D139" s="2">
        <v>110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3">
        <v>52000</v>
      </c>
      <c r="AG139" s="2" t="s">
        <v>353</v>
      </c>
      <c r="AH139" s="2" t="s">
        <v>36</v>
      </c>
    </row>
    <row r="140" spans="1:34" x14ac:dyDescent="0.3">
      <c r="A140" s="2">
        <v>138</v>
      </c>
      <c r="B140" s="2" t="s">
        <v>354</v>
      </c>
      <c r="C140" s="2" t="s">
        <v>355</v>
      </c>
      <c r="D140" s="2">
        <v>111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3">
        <v>45000</v>
      </c>
      <c r="AG140" s="2" t="s">
        <v>356</v>
      </c>
      <c r="AH140" s="2" t="s">
        <v>32</v>
      </c>
    </row>
    <row r="141" spans="1:34" x14ac:dyDescent="0.3">
      <c r="A141" s="2">
        <v>139</v>
      </c>
      <c r="B141" s="2" t="s">
        <v>357</v>
      </c>
      <c r="C141" s="2" t="s">
        <v>358</v>
      </c>
      <c r="D141" s="2">
        <v>112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3">
        <v>71000</v>
      </c>
      <c r="AG141" s="2" t="s">
        <v>359</v>
      </c>
      <c r="AH141" s="2" t="s">
        <v>36</v>
      </c>
    </row>
    <row r="142" spans="1:34" x14ac:dyDescent="0.3">
      <c r="A142" s="2">
        <v>140</v>
      </c>
      <c r="B142" s="2" t="s">
        <v>360</v>
      </c>
      <c r="C142" s="2" t="s">
        <v>361</v>
      </c>
      <c r="D142" s="2">
        <v>113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3">
        <v>49000</v>
      </c>
      <c r="AG142" s="2" t="s">
        <v>362</v>
      </c>
      <c r="AH142" s="2" t="s">
        <v>36</v>
      </c>
    </row>
    <row r="143" spans="1:34" x14ac:dyDescent="0.3">
      <c r="A143" s="2">
        <v>141</v>
      </c>
      <c r="B143" s="2" t="s">
        <v>363</v>
      </c>
      <c r="C143" s="2" t="s">
        <v>364</v>
      </c>
      <c r="D143" s="2">
        <v>114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3">
        <v>167000</v>
      </c>
      <c r="AG143" s="2" t="s">
        <v>365</v>
      </c>
      <c r="AH143" s="2" t="s">
        <v>32</v>
      </c>
    </row>
    <row r="144" spans="1:34" x14ac:dyDescent="0.3">
      <c r="A144" s="2">
        <v>142</v>
      </c>
      <c r="B144" s="2" t="s">
        <v>366</v>
      </c>
      <c r="C144" s="2" t="s">
        <v>367</v>
      </c>
      <c r="D144" s="2">
        <v>115</v>
      </c>
      <c r="E144" s="2">
        <v>0</v>
      </c>
      <c r="F144" s="2">
        <v>0</v>
      </c>
      <c r="G144" s="2">
        <v>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3">
        <v>26000</v>
      </c>
      <c r="AG144" s="2" t="s">
        <v>368</v>
      </c>
      <c r="AH144" s="2" t="s">
        <v>36</v>
      </c>
    </row>
    <row r="145" spans="1:34" x14ac:dyDescent="0.3">
      <c r="A145" s="2">
        <v>143</v>
      </c>
      <c r="B145" s="2" t="s">
        <v>369</v>
      </c>
      <c r="C145" s="2" t="s">
        <v>370</v>
      </c>
      <c r="D145" s="2">
        <v>116</v>
      </c>
      <c r="E145" s="2">
        <v>0</v>
      </c>
      <c r="F145" s="2">
        <v>0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3">
        <v>26000</v>
      </c>
      <c r="AG145" s="2" t="s">
        <v>371</v>
      </c>
      <c r="AH145" s="2" t="s">
        <v>36</v>
      </c>
    </row>
    <row r="146" spans="1:34" x14ac:dyDescent="0.3">
      <c r="A146" s="2">
        <v>144</v>
      </c>
      <c r="B146" s="2" t="s">
        <v>372</v>
      </c>
      <c r="C146" s="2" t="s">
        <v>373</v>
      </c>
      <c r="D146" s="2">
        <v>117</v>
      </c>
      <c r="E146" s="2">
        <v>0</v>
      </c>
      <c r="F146" s="2">
        <v>0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3">
        <v>170000</v>
      </c>
      <c r="AG146" s="2" t="s">
        <v>374</v>
      </c>
      <c r="AH146" s="2" t="s">
        <v>36</v>
      </c>
    </row>
    <row r="147" spans="1:34" x14ac:dyDescent="0.3">
      <c r="A147" s="2">
        <v>145</v>
      </c>
      <c r="B147" s="2" t="s">
        <v>375</v>
      </c>
      <c r="C147" s="2" t="s">
        <v>376</v>
      </c>
      <c r="D147" s="2">
        <v>118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3">
        <v>20000</v>
      </c>
      <c r="AG147" s="2" t="s">
        <v>377</v>
      </c>
      <c r="AH147" s="2" t="s">
        <v>36</v>
      </c>
    </row>
    <row r="148" spans="1:34" x14ac:dyDescent="0.3">
      <c r="A148" s="2">
        <v>146</v>
      </c>
      <c r="B148" s="2" t="s">
        <v>378</v>
      </c>
      <c r="C148" s="2" t="s">
        <v>379</v>
      </c>
      <c r="D148" s="2">
        <v>119</v>
      </c>
      <c r="E148" s="2">
        <v>0</v>
      </c>
      <c r="F148" s="2">
        <v>0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3">
        <v>56000</v>
      </c>
      <c r="AG148" s="2" t="s">
        <v>380</v>
      </c>
      <c r="AH148" s="2" t="s">
        <v>36</v>
      </c>
    </row>
    <row r="149" spans="1:34" x14ac:dyDescent="0.3">
      <c r="A149" s="2">
        <v>147</v>
      </c>
      <c r="B149" s="2" t="s">
        <v>381</v>
      </c>
      <c r="C149" s="2" t="s">
        <v>382</v>
      </c>
      <c r="D149" s="2">
        <v>120</v>
      </c>
      <c r="E149" s="2">
        <v>0</v>
      </c>
      <c r="F149" s="2">
        <v>0</v>
      </c>
      <c r="G149" s="2">
        <v>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3">
        <v>53000</v>
      </c>
      <c r="AG149" s="2" t="s">
        <v>383</v>
      </c>
      <c r="AH149" s="2" t="s">
        <v>36</v>
      </c>
    </row>
    <row r="150" spans="1:34" x14ac:dyDescent="0.3">
      <c r="A150" s="2">
        <v>148</v>
      </c>
      <c r="B150" s="2" t="s">
        <v>384</v>
      </c>
      <c r="C150" s="2" t="s">
        <v>385</v>
      </c>
      <c r="D150" s="2">
        <v>121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3">
        <v>31000</v>
      </c>
      <c r="AG150" s="2" t="s">
        <v>386</v>
      </c>
      <c r="AH150" s="2" t="s">
        <v>36</v>
      </c>
    </row>
    <row r="151" spans="1:34" x14ac:dyDescent="0.3">
      <c r="A151" s="2">
        <v>149</v>
      </c>
      <c r="B151" s="2" t="s">
        <v>387</v>
      </c>
      <c r="C151" s="2" t="s">
        <v>388</v>
      </c>
      <c r="D151" s="2">
        <v>122</v>
      </c>
      <c r="E151" s="2">
        <v>0</v>
      </c>
      <c r="F151" s="2">
        <v>0</v>
      </c>
      <c r="G151" s="2">
        <v>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3">
        <v>150000</v>
      </c>
      <c r="AG151" s="2" t="s">
        <v>389</v>
      </c>
      <c r="AH151" s="2" t="s">
        <v>36</v>
      </c>
    </row>
    <row r="152" spans="1:34" x14ac:dyDescent="0.3">
      <c r="A152" s="2">
        <v>150</v>
      </c>
      <c r="B152" s="2" t="s">
        <v>390</v>
      </c>
      <c r="C152" s="2" t="s">
        <v>391</v>
      </c>
      <c r="D152" s="2">
        <v>123</v>
      </c>
      <c r="E152" s="2">
        <v>0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3">
        <v>66000</v>
      </c>
      <c r="AG152" s="2" t="s">
        <v>392</v>
      </c>
      <c r="AH152" s="2" t="s">
        <v>36</v>
      </c>
    </row>
    <row r="153" spans="1:34" x14ac:dyDescent="0.3">
      <c r="A153" s="2">
        <v>151</v>
      </c>
      <c r="B153" s="2" t="s">
        <v>393</v>
      </c>
      <c r="C153" s="2" t="s">
        <v>394</v>
      </c>
      <c r="D153" s="2">
        <v>124</v>
      </c>
      <c r="E153" s="2">
        <v>0</v>
      </c>
      <c r="F153" s="2">
        <v>0</v>
      </c>
      <c r="G153" s="2">
        <v>1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3">
        <v>140000</v>
      </c>
      <c r="AG153" s="2" t="s">
        <v>395</v>
      </c>
      <c r="AH153" s="2" t="s">
        <v>36</v>
      </c>
    </row>
    <row r="154" spans="1:34" x14ac:dyDescent="0.3">
      <c r="A154" s="2">
        <v>152</v>
      </c>
      <c r="B154" s="2" t="s">
        <v>396</v>
      </c>
      <c r="C154" s="2" t="s">
        <v>397</v>
      </c>
      <c r="D154" s="2">
        <v>125</v>
      </c>
      <c r="E154" s="2">
        <v>0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3">
        <v>68000</v>
      </c>
      <c r="AG154" s="2" t="s">
        <v>398</v>
      </c>
      <c r="AH154" s="2" t="s">
        <v>36</v>
      </c>
    </row>
    <row r="155" spans="1:34" x14ac:dyDescent="0.3">
      <c r="A155" s="2">
        <v>153</v>
      </c>
      <c r="B155" s="2" t="s">
        <v>399</v>
      </c>
      <c r="C155" s="2" t="s">
        <v>400</v>
      </c>
      <c r="D155" s="2">
        <v>126</v>
      </c>
      <c r="E155" s="2">
        <v>0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3">
        <v>130000</v>
      </c>
      <c r="AG155" s="2" t="s">
        <v>401</v>
      </c>
      <c r="AH155" s="2" t="s">
        <v>36</v>
      </c>
    </row>
    <row r="156" spans="1:34" x14ac:dyDescent="0.3">
      <c r="A156" s="2">
        <v>154</v>
      </c>
      <c r="B156" s="2" t="s">
        <v>402</v>
      </c>
      <c r="C156" s="2" t="s">
        <v>403</v>
      </c>
      <c r="D156" s="2">
        <v>127</v>
      </c>
      <c r="E156" s="2">
        <v>0</v>
      </c>
      <c r="F156" s="2">
        <v>0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3">
        <v>45000</v>
      </c>
      <c r="AG156" s="2" t="s">
        <v>404</v>
      </c>
      <c r="AH156" s="2" t="s">
        <v>32</v>
      </c>
    </row>
    <row r="157" spans="1:34" x14ac:dyDescent="0.3">
      <c r="A157" s="2">
        <v>155</v>
      </c>
      <c r="B157" s="2" t="s">
        <v>405</v>
      </c>
      <c r="C157" s="2" t="s">
        <v>406</v>
      </c>
      <c r="D157" s="2">
        <v>128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3">
        <v>290000</v>
      </c>
      <c r="AG157" s="2" t="s">
        <v>407</v>
      </c>
      <c r="AH157" s="2" t="s">
        <v>32</v>
      </c>
    </row>
    <row r="158" spans="1:34" x14ac:dyDescent="0.3">
      <c r="A158" s="2">
        <v>156</v>
      </c>
      <c r="B158" s="2" t="s">
        <v>408</v>
      </c>
      <c r="C158" s="2" t="s">
        <v>409</v>
      </c>
      <c r="D158" s="2">
        <v>129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3">
        <v>630000</v>
      </c>
      <c r="AG158" s="2" t="s">
        <v>410</v>
      </c>
      <c r="AH158" s="2" t="s">
        <v>36</v>
      </c>
    </row>
    <row r="159" spans="1:34" x14ac:dyDescent="0.3">
      <c r="A159" s="2">
        <v>157</v>
      </c>
      <c r="B159" s="2" t="s">
        <v>411</v>
      </c>
      <c r="C159" s="2" t="s">
        <v>412</v>
      </c>
      <c r="D159" s="2">
        <v>130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3">
        <v>640000</v>
      </c>
      <c r="AG159" s="2" t="s">
        <v>413</v>
      </c>
      <c r="AH159" s="2" t="s">
        <v>36</v>
      </c>
    </row>
    <row r="160" spans="1:34" x14ac:dyDescent="0.3">
      <c r="A160" s="2">
        <v>158</v>
      </c>
      <c r="B160" s="2" t="s">
        <v>414</v>
      </c>
      <c r="C160" s="2" t="s">
        <v>415</v>
      </c>
      <c r="D160" s="2">
        <v>131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3">
        <v>19000000</v>
      </c>
      <c r="AG160" s="2" t="s">
        <v>416</v>
      </c>
      <c r="AH160" s="2" t="s">
        <v>32</v>
      </c>
    </row>
    <row r="161" spans="1:34" x14ac:dyDescent="0.3">
      <c r="A161" s="2">
        <v>159</v>
      </c>
      <c r="B161" s="2" t="s">
        <v>417</v>
      </c>
      <c r="C161" s="2" t="s">
        <v>418</v>
      </c>
      <c r="D161" s="2">
        <v>132</v>
      </c>
      <c r="E161" s="2">
        <v>0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3">
        <v>100000</v>
      </c>
      <c r="AG161" s="2" t="s">
        <v>419</v>
      </c>
      <c r="AH161" s="2" t="s">
        <v>36</v>
      </c>
    </row>
    <row r="162" spans="1:34" x14ac:dyDescent="0.3">
      <c r="A162" s="2">
        <v>160</v>
      </c>
      <c r="B162" s="2" t="s">
        <v>420</v>
      </c>
      <c r="C162" s="2" t="s">
        <v>421</v>
      </c>
      <c r="D162" s="2">
        <v>133</v>
      </c>
      <c r="E162" s="2">
        <v>0</v>
      </c>
      <c r="F162" s="2">
        <v>0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3">
        <v>2800000</v>
      </c>
      <c r="AG162" s="2" t="s">
        <v>422</v>
      </c>
      <c r="AH162" s="2" t="s">
        <v>36</v>
      </c>
    </row>
    <row r="163" spans="1:34" x14ac:dyDescent="0.3">
      <c r="A163" s="2">
        <v>161</v>
      </c>
      <c r="B163" s="2" t="s">
        <v>423</v>
      </c>
      <c r="C163" s="2" t="s">
        <v>424</v>
      </c>
      <c r="D163" s="2">
        <v>134</v>
      </c>
      <c r="E163" s="2">
        <v>0</v>
      </c>
      <c r="F163" s="2">
        <v>0</v>
      </c>
      <c r="G163" s="2">
        <v>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3">
        <v>810</v>
      </c>
      <c r="AG163" s="2" t="s">
        <v>425</v>
      </c>
      <c r="AH163" s="2" t="s">
        <v>36</v>
      </c>
    </row>
    <row r="164" spans="1:34" x14ac:dyDescent="0.3">
      <c r="A164" s="2">
        <v>162</v>
      </c>
      <c r="B164" s="2" t="s">
        <v>426</v>
      </c>
      <c r="C164" s="2" t="s">
        <v>427</v>
      </c>
      <c r="D164" s="2">
        <v>135</v>
      </c>
      <c r="E164" s="2">
        <v>0</v>
      </c>
      <c r="F164" s="2">
        <v>0</v>
      </c>
      <c r="G164" s="2">
        <v>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3">
        <v>860000</v>
      </c>
      <c r="AG164" s="2" t="s">
        <v>428</v>
      </c>
      <c r="AH164" s="2" t="s">
        <v>36</v>
      </c>
    </row>
    <row r="165" spans="1:34" x14ac:dyDescent="0.3">
      <c r="A165" s="2">
        <v>163</v>
      </c>
      <c r="B165" s="2" t="s">
        <v>429</v>
      </c>
      <c r="C165" s="2" t="s">
        <v>430</v>
      </c>
      <c r="D165" s="2">
        <v>136</v>
      </c>
      <c r="E165" s="2">
        <v>0</v>
      </c>
      <c r="F165" s="2">
        <v>0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3">
        <v>180000</v>
      </c>
      <c r="AG165" s="2" t="s">
        <v>431</v>
      </c>
      <c r="AH165" s="2" t="s">
        <v>36</v>
      </c>
    </row>
    <row r="166" spans="1:34" x14ac:dyDescent="0.3">
      <c r="A166" s="2">
        <v>164</v>
      </c>
      <c r="B166" s="2" t="s">
        <v>432</v>
      </c>
      <c r="C166" s="2" t="s">
        <v>433</v>
      </c>
      <c r="D166" s="2">
        <v>137</v>
      </c>
      <c r="E166" s="2">
        <v>0</v>
      </c>
      <c r="F166" s="2">
        <v>0</v>
      </c>
      <c r="G166" s="2">
        <v>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3">
        <v>4300000</v>
      </c>
      <c r="AG166" s="2" t="s">
        <v>434</v>
      </c>
      <c r="AH166" s="2" t="s">
        <v>36</v>
      </c>
    </row>
    <row r="167" spans="1:34" x14ac:dyDescent="0.3">
      <c r="A167" s="2">
        <v>165</v>
      </c>
      <c r="B167" s="2" t="s">
        <v>435</v>
      </c>
      <c r="C167" s="2" t="s">
        <v>436</v>
      </c>
      <c r="D167" s="2">
        <v>138</v>
      </c>
      <c r="E167" s="2">
        <v>0</v>
      </c>
      <c r="F167" s="2">
        <v>0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3">
        <v>100000</v>
      </c>
      <c r="AG167" s="2" t="s">
        <v>437</v>
      </c>
      <c r="AH167" s="2" t="s">
        <v>36</v>
      </c>
    </row>
    <row r="168" spans="1:34" x14ac:dyDescent="0.3">
      <c r="A168" s="2">
        <v>166</v>
      </c>
      <c r="B168" s="2" t="s">
        <v>438</v>
      </c>
      <c r="C168" s="2" t="s">
        <v>439</v>
      </c>
      <c r="D168" s="2">
        <v>139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3">
        <v>1300000</v>
      </c>
      <c r="AG168" s="2" t="s">
        <v>440</v>
      </c>
      <c r="AH168" s="2" t="s">
        <v>36</v>
      </c>
    </row>
    <row r="169" spans="1:34" x14ac:dyDescent="0.3">
      <c r="A169" s="2">
        <v>167</v>
      </c>
      <c r="B169" s="2" t="s">
        <v>441</v>
      </c>
      <c r="C169" s="2" t="s">
        <v>442</v>
      </c>
      <c r="D169" s="2">
        <v>140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3">
        <v>6000000</v>
      </c>
      <c r="AG169" s="2" t="s">
        <v>443</v>
      </c>
      <c r="AH169" s="2" t="s">
        <v>36</v>
      </c>
    </row>
    <row r="170" spans="1:34" x14ac:dyDescent="0.3">
      <c r="A170" s="2">
        <v>168</v>
      </c>
      <c r="B170" s="2" t="s">
        <v>444</v>
      </c>
      <c r="C170" s="2" t="s">
        <v>445</v>
      </c>
      <c r="D170" s="2">
        <v>141</v>
      </c>
      <c r="E170" s="2">
        <v>0</v>
      </c>
      <c r="F170" s="2">
        <v>0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3">
        <v>700000</v>
      </c>
      <c r="AG170" s="2" t="s">
        <v>446</v>
      </c>
      <c r="AH170" s="2" t="s">
        <v>36</v>
      </c>
    </row>
    <row r="171" spans="1:34" x14ac:dyDescent="0.3">
      <c r="A171" s="2">
        <v>169</v>
      </c>
      <c r="B171" s="2" t="s">
        <v>447</v>
      </c>
      <c r="C171" s="2" t="s">
        <v>448</v>
      </c>
      <c r="D171" s="2">
        <v>142</v>
      </c>
      <c r="E171" s="2">
        <v>0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3">
        <v>10000000</v>
      </c>
      <c r="AG171" s="2" t="s">
        <v>449</v>
      </c>
      <c r="AH171" s="2" t="s">
        <v>36</v>
      </c>
    </row>
    <row r="172" spans="1:34" x14ac:dyDescent="0.3">
      <c r="A172" s="2">
        <v>170</v>
      </c>
      <c r="B172" s="2" t="s">
        <v>450</v>
      </c>
      <c r="C172" s="2" t="s">
        <v>451</v>
      </c>
      <c r="D172" s="2">
        <v>143</v>
      </c>
      <c r="E172" s="2">
        <v>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3">
        <v>3200000</v>
      </c>
      <c r="AG172" s="2" t="s">
        <v>452</v>
      </c>
      <c r="AH172" s="2" t="s">
        <v>36</v>
      </c>
    </row>
    <row r="173" spans="1:34" x14ac:dyDescent="0.3">
      <c r="A173" s="2">
        <v>171</v>
      </c>
      <c r="B173" s="2" t="s">
        <v>453</v>
      </c>
      <c r="C173" s="2" t="s">
        <v>454</v>
      </c>
      <c r="D173" s="2">
        <v>144</v>
      </c>
      <c r="E173" s="2">
        <v>0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3">
        <v>170000000</v>
      </c>
      <c r="AG173" s="2" t="s">
        <v>455</v>
      </c>
      <c r="AH173" s="2" t="s">
        <v>36</v>
      </c>
    </row>
    <row r="174" spans="1:34" x14ac:dyDescent="0.3">
      <c r="A174" s="2">
        <v>172</v>
      </c>
      <c r="B174" s="2" t="s">
        <v>456</v>
      </c>
      <c r="C174" s="2" t="s">
        <v>457</v>
      </c>
      <c r="D174" s="2">
        <v>145</v>
      </c>
      <c r="E174" s="2">
        <v>0</v>
      </c>
      <c r="F174" s="2">
        <v>0</v>
      </c>
      <c r="G174" s="2">
        <v>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3">
        <v>3700000</v>
      </c>
      <c r="AG174" s="2" t="s">
        <v>458</v>
      </c>
      <c r="AH174" s="2" t="s">
        <v>36</v>
      </c>
    </row>
    <row r="175" spans="1:34" x14ac:dyDescent="0.3">
      <c r="A175" s="2">
        <v>173</v>
      </c>
      <c r="B175" s="2" t="s">
        <v>459</v>
      </c>
      <c r="C175" s="2" t="s">
        <v>460</v>
      </c>
      <c r="D175" s="2">
        <v>146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3">
        <v>3600000000</v>
      </c>
      <c r="AG175" s="2" t="s">
        <v>461</v>
      </c>
      <c r="AH175" s="2" t="s">
        <v>32</v>
      </c>
    </row>
    <row r="176" spans="1:34" x14ac:dyDescent="0.3">
      <c r="A176" s="2">
        <v>174</v>
      </c>
      <c r="B176" s="2" t="s">
        <v>462</v>
      </c>
      <c r="C176" s="2" t="s">
        <v>463</v>
      </c>
      <c r="D176" s="2">
        <v>147</v>
      </c>
      <c r="E176" s="2">
        <v>0</v>
      </c>
      <c r="F176" s="2">
        <v>0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3">
        <v>1900</v>
      </c>
      <c r="AG176" s="2" t="s">
        <v>464</v>
      </c>
      <c r="AH176" s="2" t="s">
        <v>32</v>
      </c>
    </row>
    <row r="177" spans="1:34" x14ac:dyDescent="0.3">
      <c r="A177" s="2">
        <v>175</v>
      </c>
      <c r="B177" s="2" t="s">
        <v>465</v>
      </c>
      <c r="C177" s="2" t="s">
        <v>466</v>
      </c>
      <c r="D177" s="2">
        <v>148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3">
        <v>11000000</v>
      </c>
      <c r="AG177" s="2" t="s">
        <v>467</v>
      </c>
      <c r="AH177" s="2" t="s">
        <v>36</v>
      </c>
    </row>
    <row r="178" spans="1:34" x14ac:dyDescent="0.3">
      <c r="A178" s="2">
        <v>176</v>
      </c>
      <c r="B178" s="2" t="s">
        <v>468</v>
      </c>
      <c r="C178" s="2" t="s">
        <v>469</v>
      </c>
      <c r="D178" s="2">
        <v>149</v>
      </c>
      <c r="E178" s="2">
        <v>0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3">
        <v>3300000</v>
      </c>
      <c r="AG178" s="2" t="s">
        <v>470</v>
      </c>
      <c r="AH178" s="2" t="s">
        <v>32</v>
      </c>
    </row>
    <row r="179" spans="1:34" x14ac:dyDescent="0.3">
      <c r="A179" s="2">
        <v>177</v>
      </c>
      <c r="B179" s="2" t="s">
        <v>471</v>
      </c>
      <c r="C179" s="2" t="s">
        <v>472</v>
      </c>
      <c r="D179" s="2">
        <v>150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3">
        <v>0.01</v>
      </c>
      <c r="AG179" s="2" t="s">
        <v>473</v>
      </c>
      <c r="AH179" s="2" t="s">
        <v>36</v>
      </c>
    </row>
    <row r="180" spans="1:34" x14ac:dyDescent="0.3">
      <c r="A180" s="2">
        <v>178</v>
      </c>
      <c r="B180" s="2" t="s">
        <v>474</v>
      </c>
      <c r="C180" s="2" t="s">
        <v>475</v>
      </c>
      <c r="D180" s="2">
        <v>151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3">
        <v>2000000</v>
      </c>
      <c r="AG180" s="2" t="s">
        <v>476</v>
      </c>
      <c r="AH180" s="2" t="s">
        <v>36</v>
      </c>
    </row>
    <row r="181" spans="1:34" x14ac:dyDescent="0.3">
      <c r="A181" s="2">
        <v>179</v>
      </c>
      <c r="B181" s="2" t="s">
        <v>477</v>
      </c>
      <c r="C181" s="2" t="s">
        <v>478</v>
      </c>
      <c r="D181" s="2">
        <v>152</v>
      </c>
      <c r="E181" s="2">
        <v>0</v>
      </c>
      <c r="F181" s="2">
        <v>0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3">
        <v>980000</v>
      </c>
      <c r="AG181" s="2" t="s">
        <v>479</v>
      </c>
      <c r="AH181" s="2" t="s">
        <v>36</v>
      </c>
    </row>
    <row r="182" spans="1:34" x14ac:dyDescent="0.3">
      <c r="A182" s="2">
        <v>180</v>
      </c>
      <c r="B182" s="2" t="s">
        <v>480</v>
      </c>
      <c r="C182" s="2" t="s">
        <v>481</v>
      </c>
      <c r="D182" s="2">
        <v>153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3">
        <v>0.94</v>
      </c>
      <c r="AG182" s="2" t="s">
        <v>482</v>
      </c>
      <c r="AH182" s="2" t="s">
        <v>36</v>
      </c>
    </row>
    <row r="183" spans="1:34" x14ac:dyDescent="0.3">
      <c r="A183" s="2">
        <v>181</v>
      </c>
      <c r="B183" s="2" t="s">
        <v>483</v>
      </c>
      <c r="C183" s="2" t="s">
        <v>484</v>
      </c>
      <c r="D183" s="2">
        <v>154</v>
      </c>
      <c r="E183" s="2">
        <v>0</v>
      </c>
      <c r="F183" s="2">
        <v>0</v>
      </c>
      <c r="G183" s="2">
        <v>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3">
        <v>1000000</v>
      </c>
      <c r="AG183" s="2" t="s">
        <v>485</v>
      </c>
      <c r="AH183" s="2" t="s">
        <v>32</v>
      </c>
    </row>
    <row r="184" spans="1:34" x14ac:dyDescent="0.3">
      <c r="A184" s="2">
        <v>182</v>
      </c>
      <c r="B184" s="2" t="s">
        <v>486</v>
      </c>
      <c r="C184" s="2" t="s">
        <v>487</v>
      </c>
      <c r="D184" s="2">
        <v>155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3">
        <v>2800000</v>
      </c>
      <c r="AG184" s="2" t="s">
        <v>488</v>
      </c>
      <c r="AH184" s="2" t="s">
        <v>36</v>
      </c>
    </row>
    <row r="185" spans="1:34" x14ac:dyDescent="0.3">
      <c r="A185" s="2">
        <v>183</v>
      </c>
      <c r="B185" s="2" t="s">
        <v>489</v>
      </c>
      <c r="C185" s="2" t="s">
        <v>490</v>
      </c>
      <c r="D185" s="2">
        <v>156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3">
        <v>4100000</v>
      </c>
      <c r="AG185" s="2" t="s">
        <v>491</v>
      </c>
      <c r="AH185" s="2" t="s">
        <v>32</v>
      </c>
    </row>
    <row r="186" spans="1:34" x14ac:dyDescent="0.3">
      <c r="A186" s="2">
        <v>184</v>
      </c>
      <c r="B186" s="2" t="s">
        <v>492</v>
      </c>
      <c r="C186" s="2" t="s">
        <v>228</v>
      </c>
      <c r="D186" s="2">
        <v>73</v>
      </c>
      <c r="E186" s="2">
        <v>1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3">
        <v>2700000</v>
      </c>
      <c r="AG186" s="2" t="s">
        <v>493</v>
      </c>
      <c r="AH186" s="2" t="s">
        <v>36</v>
      </c>
    </row>
    <row r="187" spans="1:34" x14ac:dyDescent="0.3">
      <c r="A187" s="2">
        <v>185</v>
      </c>
      <c r="B187" s="2" t="s">
        <v>494</v>
      </c>
      <c r="C187" s="2" t="s">
        <v>495</v>
      </c>
      <c r="D187" s="2">
        <v>157</v>
      </c>
      <c r="E187" s="2">
        <v>0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1</v>
      </c>
      <c r="AD187" s="2">
        <v>0</v>
      </c>
      <c r="AE187" s="2">
        <v>0</v>
      </c>
      <c r="AF187" s="3">
        <v>2800000</v>
      </c>
      <c r="AG187" s="2" t="s">
        <v>496</v>
      </c>
      <c r="AH187" s="2" t="s">
        <v>36</v>
      </c>
    </row>
    <row r="188" spans="1:34" x14ac:dyDescent="0.3">
      <c r="A188" s="2">
        <v>186</v>
      </c>
      <c r="B188" s="2" t="s">
        <v>497</v>
      </c>
      <c r="C188" s="2" t="s">
        <v>337</v>
      </c>
      <c r="D188" s="2">
        <v>105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3">
        <v>60</v>
      </c>
      <c r="AG188" s="2" t="s">
        <v>498</v>
      </c>
      <c r="AH188" s="2" t="s">
        <v>32</v>
      </c>
    </row>
    <row r="189" spans="1:34" x14ac:dyDescent="0.3">
      <c r="A189" s="2">
        <v>187</v>
      </c>
      <c r="B189" s="2" t="s">
        <v>499</v>
      </c>
      <c r="C189" s="2" t="s">
        <v>343</v>
      </c>
      <c r="D189" s="2">
        <v>107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3">
        <v>1</v>
      </c>
      <c r="AG189" s="2" t="s">
        <v>500</v>
      </c>
      <c r="AH189" s="2" t="s">
        <v>36</v>
      </c>
    </row>
    <row r="190" spans="1:34" x14ac:dyDescent="0.3">
      <c r="A190" s="2">
        <v>188</v>
      </c>
      <c r="B190" s="2" t="s">
        <v>501</v>
      </c>
      <c r="C190" s="2" t="s">
        <v>358</v>
      </c>
      <c r="D190" s="2">
        <v>112</v>
      </c>
      <c r="E190" s="2">
        <v>0</v>
      </c>
      <c r="F190" s="2">
        <v>0</v>
      </c>
      <c r="G190" s="2">
        <v>0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3">
        <v>1</v>
      </c>
      <c r="AG190" s="2" t="s">
        <v>502</v>
      </c>
      <c r="AH190" s="2" t="s">
        <v>36</v>
      </c>
    </row>
    <row r="191" spans="1:34" x14ac:dyDescent="0.3">
      <c r="A191" s="2">
        <v>189</v>
      </c>
      <c r="B191" s="2" t="s">
        <v>503</v>
      </c>
      <c r="C191" s="2" t="s">
        <v>361</v>
      </c>
      <c r="D191" s="2">
        <v>113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3">
        <v>1</v>
      </c>
      <c r="AG191" s="2" t="s">
        <v>504</v>
      </c>
      <c r="AH191" s="2" t="s">
        <v>36</v>
      </c>
    </row>
    <row r="192" spans="1:34" x14ac:dyDescent="0.3">
      <c r="A192" s="2">
        <v>190</v>
      </c>
      <c r="B192" s="2" t="s">
        <v>505</v>
      </c>
      <c r="C192" s="2" t="s">
        <v>373</v>
      </c>
      <c r="D192" s="2">
        <v>117</v>
      </c>
      <c r="E192" s="2">
        <v>0</v>
      </c>
      <c r="F192" s="2">
        <v>0</v>
      </c>
      <c r="G192" s="2">
        <v>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3">
        <v>33</v>
      </c>
      <c r="AG192" s="2" t="s">
        <v>506</v>
      </c>
      <c r="AH192" s="2" t="s">
        <v>36</v>
      </c>
    </row>
    <row r="193" spans="1:34" x14ac:dyDescent="0.3">
      <c r="A193" s="2">
        <v>191</v>
      </c>
      <c r="B193" s="2" t="s">
        <v>507</v>
      </c>
      <c r="C193" s="2" t="s">
        <v>400</v>
      </c>
      <c r="D193" s="2">
        <v>126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3">
        <v>7.1</v>
      </c>
      <c r="AG193" s="2" t="s">
        <v>508</v>
      </c>
      <c r="AH193" s="2" t="s">
        <v>36</v>
      </c>
    </row>
    <row r="194" spans="1:34" x14ac:dyDescent="0.3">
      <c r="A194" s="2">
        <v>192</v>
      </c>
      <c r="B194" s="2" t="s">
        <v>509</v>
      </c>
      <c r="C194" s="2" t="s">
        <v>346</v>
      </c>
      <c r="D194" s="2">
        <v>108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3">
        <v>387</v>
      </c>
      <c r="AG194" s="2" t="s">
        <v>510</v>
      </c>
      <c r="AH194" s="2" t="s">
        <v>36</v>
      </c>
    </row>
    <row r="195" spans="1:34" x14ac:dyDescent="0.3">
      <c r="A195" s="2">
        <v>193</v>
      </c>
      <c r="B195" s="2" t="s">
        <v>511</v>
      </c>
      <c r="C195" s="2" t="s">
        <v>352</v>
      </c>
      <c r="D195" s="2">
        <v>110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3">
        <v>0.1</v>
      </c>
      <c r="AG195" s="2" t="s">
        <v>512</v>
      </c>
      <c r="AH195" s="2" t="s">
        <v>36</v>
      </c>
    </row>
    <row r="196" spans="1:34" x14ac:dyDescent="0.3">
      <c r="A196" s="2">
        <v>194</v>
      </c>
      <c r="B196" s="2" t="s">
        <v>513</v>
      </c>
      <c r="C196" s="2" t="s">
        <v>355</v>
      </c>
      <c r="D196" s="2">
        <v>111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3">
        <v>0.1</v>
      </c>
      <c r="AG196" s="2" t="s">
        <v>514</v>
      </c>
      <c r="AH196" s="2" t="s">
        <v>32</v>
      </c>
    </row>
    <row r="197" spans="1:34" x14ac:dyDescent="0.3">
      <c r="A197" s="2">
        <v>195</v>
      </c>
      <c r="B197" s="2" t="s">
        <v>515</v>
      </c>
      <c r="C197" s="2" t="s">
        <v>367</v>
      </c>
      <c r="D197" s="2">
        <v>115</v>
      </c>
      <c r="E197" s="2">
        <v>0</v>
      </c>
      <c r="F197" s="2">
        <v>0</v>
      </c>
      <c r="G197" s="2">
        <v>0</v>
      </c>
      <c r="H197" s="2">
        <v>1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3">
        <v>0.2</v>
      </c>
      <c r="AG197" s="2" t="s">
        <v>516</v>
      </c>
      <c r="AH197" s="2" t="s">
        <v>36</v>
      </c>
    </row>
    <row r="198" spans="1:34" x14ac:dyDescent="0.3">
      <c r="A198" s="2">
        <v>196</v>
      </c>
      <c r="B198" s="2" t="s">
        <v>517</v>
      </c>
      <c r="C198" s="2" t="s">
        <v>370</v>
      </c>
      <c r="D198" s="2">
        <v>116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3">
        <v>0.9</v>
      </c>
      <c r="AG198" s="2" t="s">
        <v>518</v>
      </c>
      <c r="AH198" s="2" t="s">
        <v>32</v>
      </c>
    </row>
    <row r="199" spans="1:34" x14ac:dyDescent="0.3">
      <c r="A199" s="2">
        <v>197</v>
      </c>
      <c r="B199" s="2" t="s">
        <v>519</v>
      </c>
      <c r="C199" s="2" t="s">
        <v>379</v>
      </c>
      <c r="D199" s="2">
        <v>119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3">
        <v>2.2999999999999998</v>
      </c>
      <c r="AG199" s="2" t="s">
        <v>520</v>
      </c>
      <c r="AH199" s="2" t="s">
        <v>36</v>
      </c>
    </row>
    <row r="200" spans="1:34" x14ac:dyDescent="0.3">
      <c r="A200" s="2">
        <v>198</v>
      </c>
      <c r="B200" s="2" t="s">
        <v>521</v>
      </c>
      <c r="C200" s="2" t="s">
        <v>385</v>
      </c>
      <c r="D200" s="2">
        <v>121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3">
        <v>6.6</v>
      </c>
      <c r="AG200" s="2" t="s">
        <v>522</v>
      </c>
      <c r="AH200" s="2" t="s">
        <v>36</v>
      </c>
    </row>
    <row r="201" spans="1:34" x14ac:dyDescent="0.3">
      <c r="A201" s="2">
        <v>199</v>
      </c>
      <c r="B201" s="2" t="s">
        <v>523</v>
      </c>
      <c r="C201" s="2" t="s">
        <v>524</v>
      </c>
      <c r="D201" s="2">
        <v>158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3">
        <v>535</v>
      </c>
      <c r="AG201" s="2" t="s">
        <v>525</v>
      </c>
      <c r="AH201" s="2" t="s">
        <v>36</v>
      </c>
    </row>
    <row r="202" spans="1:34" x14ac:dyDescent="0.3">
      <c r="A202" s="2">
        <v>200</v>
      </c>
      <c r="B202" s="2" t="s">
        <v>526</v>
      </c>
      <c r="C202" s="2" t="s">
        <v>527</v>
      </c>
      <c r="D202" s="2">
        <v>159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3">
        <v>0.01</v>
      </c>
      <c r="AG202" s="2" t="s">
        <v>528</v>
      </c>
      <c r="AH202" s="2" t="s">
        <v>36</v>
      </c>
    </row>
    <row r="203" spans="1:34" x14ac:dyDescent="0.3">
      <c r="A203" s="2">
        <v>201</v>
      </c>
      <c r="B203" s="2" t="s">
        <v>529</v>
      </c>
      <c r="C203" s="2" t="s">
        <v>403</v>
      </c>
      <c r="D203" s="2">
        <v>127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3">
        <v>5.8</v>
      </c>
      <c r="AG203" s="2" t="s">
        <v>530</v>
      </c>
      <c r="AH203" s="2" t="s">
        <v>36</v>
      </c>
    </row>
    <row r="204" spans="1:34" x14ac:dyDescent="0.3">
      <c r="A204" s="2">
        <v>202</v>
      </c>
      <c r="B204" s="2" t="s">
        <v>531</v>
      </c>
      <c r="C204" s="2" t="s">
        <v>433</v>
      </c>
      <c r="D204" s="2">
        <v>137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3">
        <v>300</v>
      </c>
      <c r="AG204" s="2" t="s">
        <v>532</v>
      </c>
      <c r="AH204" s="2" t="s">
        <v>36</v>
      </c>
    </row>
    <row r="205" spans="1:34" x14ac:dyDescent="0.3">
      <c r="A205" s="2">
        <v>203</v>
      </c>
      <c r="B205" s="2" t="s">
        <v>533</v>
      </c>
      <c r="C205" s="2" t="s">
        <v>457</v>
      </c>
      <c r="D205" s="2">
        <v>145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3">
        <v>1</v>
      </c>
      <c r="AG205" s="2" t="s">
        <v>534</v>
      </c>
      <c r="AH205" s="2" t="s">
        <v>36</v>
      </c>
    </row>
    <row r="206" spans="1:34" x14ac:dyDescent="0.3">
      <c r="A206" s="2">
        <v>204</v>
      </c>
      <c r="B206" s="2" t="s">
        <v>535</v>
      </c>
      <c r="C206" s="2" t="s">
        <v>466</v>
      </c>
      <c r="D206" s="2">
        <v>148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3">
        <v>0.2</v>
      </c>
      <c r="AG206" s="2" t="s">
        <v>536</v>
      </c>
      <c r="AH206" s="2" t="s">
        <v>32</v>
      </c>
    </row>
    <row r="207" spans="1:34" x14ac:dyDescent="0.3">
      <c r="A207" s="2">
        <v>205</v>
      </c>
      <c r="B207" s="2" t="s">
        <v>537</v>
      </c>
      <c r="C207" s="2" t="s">
        <v>475</v>
      </c>
      <c r="D207" s="2">
        <v>151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3">
        <v>10</v>
      </c>
      <c r="AG207" s="2" t="s">
        <v>538</v>
      </c>
      <c r="AH207" s="2" t="s">
        <v>36</v>
      </c>
    </row>
    <row r="208" spans="1:34" x14ac:dyDescent="0.3">
      <c r="A208" s="2">
        <v>206</v>
      </c>
      <c r="B208" s="2" t="s">
        <v>539</v>
      </c>
      <c r="C208" s="2" t="s">
        <v>448</v>
      </c>
      <c r="D208" s="2">
        <v>142</v>
      </c>
      <c r="E208" s="2">
        <v>0</v>
      </c>
      <c r="F208" s="2">
        <v>0</v>
      </c>
      <c r="G208" s="2">
        <v>0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3">
        <v>1</v>
      </c>
      <c r="AG208" s="2" t="s">
        <v>540</v>
      </c>
      <c r="AH208" s="2" t="s">
        <v>36</v>
      </c>
    </row>
    <row r="209" spans="1:34" x14ac:dyDescent="0.3">
      <c r="A209" s="2">
        <v>207</v>
      </c>
      <c r="B209" s="2" t="s">
        <v>541</v>
      </c>
      <c r="C209" s="2" t="s">
        <v>487</v>
      </c>
      <c r="D209" s="2">
        <v>155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3">
        <v>5.2</v>
      </c>
      <c r="AG209" s="2" t="s">
        <v>542</v>
      </c>
      <c r="AH209" s="2" t="s">
        <v>36</v>
      </c>
    </row>
    <row r="210" spans="1:34" x14ac:dyDescent="0.3">
      <c r="A210" s="2">
        <v>208</v>
      </c>
      <c r="B210" s="2" t="s">
        <v>543</v>
      </c>
      <c r="C210" s="2" t="s">
        <v>544</v>
      </c>
      <c r="D210" s="2">
        <v>160</v>
      </c>
      <c r="E210" s="2">
        <v>0</v>
      </c>
      <c r="F210" s="2">
        <v>0</v>
      </c>
      <c r="G210" s="2">
        <v>0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3">
        <v>2.64</v>
      </c>
      <c r="AG210" s="2" t="s">
        <v>545</v>
      </c>
      <c r="AH210" s="2" t="s">
        <v>36</v>
      </c>
    </row>
    <row r="211" spans="1:34" x14ac:dyDescent="0.3">
      <c r="A211" s="2">
        <v>209</v>
      </c>
      <c r="B211" s="2" t="s">
        <v>546</v>
      </c>
      <c r="C211" s="2" t="s">
        <v>547</v>
      </c>
      <c r="D211" s="2">
        <v>161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3">
        <v>0.24</v>
      </c>
      <c r="AG211" s="2" t="s">
        <v>548</v>
      </c>
      <c r="AH211" s="2" t="s">
        <v>36</v>
      </c>
    </row>
    <row r="212" spans="1:34" x14ac:dyDescent="0.3">
      <c r="A212" s="2">
        <v>210</v>
      </c>
      <c r="B212" s="2" t="s">
        <v>549</v>
      </c>
      <c r="C212" s="2" t="s">
        <v>550</v>
      </c>
      <c r="D212" s="2">
        <v>162</v>
      </c>
      <c r="E212" s="2">
        <v>0</v>
      </c>
      <c r="F212" s="2">
        <v>0</v>
      </c>
      <c r="G212" s="2">
        <v>0</v>
      </c>
      <c r="H212" s="2">
        <v>0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3">
        <v>0.6</v>
      </c>
      <c r="AG212" s="2" t="s">
        <v>551</v>
      </c>
      <c r="AH212" s="2" t="s">
        <v>32</v>
      </c>
    </row>
    <row r="213" spans="1:34" x14ac:dyDescent="0.3">
      <c r="A213" s="2">
        <v>211</v>
      </c>
      <c r="B213" s="2" t="s">
        <v>552</v>
      </c>
      <c r="C213" s="2" t="s">
        <v>553</v>
      </c>
      <c r="D213" s="2">
        <v>163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3">
        <v>5.1999999999999998E-2</v>
      </c>
      <c r="AG213" s="2" t="s">
        <v>554</v>
      </c>
      <c r="AH213" s="2" t="s">
        <v>32</v>
      </c>
    </row>
    <row r="214" spans="1:34" x14ac:dyDescent="0.3">
      <c r="A214" s="2">
        <v>212</v>
      </c>
      <c r="B214" s="2" t="s">
        <v>555</v>
      </c>
      <c r="C214" s="2" t="s">
        <v>556</v>
      </c>
      <c r="D214" s="2">
        <v>164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3">
        <v>3.4</v>
      </c>
      <c r="AG214" s="2" t="s">
        <v>557</v>
      </c>
      <c r="AH214" s="2" t="s">
        <v>36</v>
      </c>
    </row>
    <row r="215" spans="1:34" x14ac:dyDescent="0.3">
      <c r="A215" s="2">
        <v>213</v>
      </c>
      <c r="B215" s="2" t="s">
        <v>558</v>
      </c>
      <c r="C215" s="2" t="s">
        <v>559</v>
      </c>
      <c r="D215" s="2">
        <v>165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3">
        <v>0.05</v>
      </c>
      <c r="AG215" s="2" t="s">
        <v>560</v>
      </c>
      <c r="AH215" s="2" t="s">
        <v>36</v>
      </c>
    </row>
    <row r="216" spans="1:34" x14ac:dyDescent="0.3">
      <c r="A216" s="2">
        <v>214</v>
      </c>
      <c r="B216" s="2" t="s">
        <v>561</v>
      </c>
      <c r="C216" s="2" t="s">
        <v>562</v>
      </c>
      <c r="D216" s="2">
        <v>166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3">
        <v>222</v>
      </c>
      <c r="AG216" s="2" t="s">
        <v>563</v>
      </c>
      <c r="AH216" s="2" t="s">
        <v>36</v>
      </c>
    </row>
    <row r="217" spans="1:34" x14ac:dyDescent="0.3">
      <c r="A217" s="2">
        <v>215</v>
      </c>
      <c r="B217" s="2" t="s">
        <v>564</v>
      </c>
      <c r="C217" s="2" t="s">
        <v>565</v>
      </c>
      <c r="D217" s="2">
        <v>167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3">
        <v>14.7</v>
      </c>
      <c r="AG217" s="2" t="s">
        <v>566</v>
      </c>
      <c r="AH217" s="2" t="s">
        <v>36</v>
      </c>
    </row>
    <row r="218" spans="1:34" x14ac:dyDescent="0.3">
      <c r="A218" s="2">
        <v>216</v>
      </c>
      <c r="B218" s="2" t="s">
        <v>567</v>
      </c>
      <c r="C218" s="2" t="s">
        <v>568</v>
      </c>
      <c r="D218" s="2">
        <v>168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3">
        <v>0.8</v>
      </c>
      <c r="AG218" s="2" t="s">
        <v>569</v>
      </c>
      <c r="AH218" s="2" t="s">
        <v>36</v>
      </c>
    </row>
    <row r="219" spans="1:34" x14ac:dyDescent="0.3">
      <c r="A219" s="2">
        <v>217</v>
      </c>
      <c r="B219" s="2" t="s">
        <v>570</v>
      </c>
      <c r="C219" s="2" t="s">
        <v>571</v>
      </c>
      <c r="D219" s="2">
        <v>169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3">
        <v>0.8</v>
      </c>
      <c r="AG219" s="2" t="s">
        <v>572</v>
      </c>
      <c r="AH219" s="2" t="s">
        <v>36</v>
      </c>
    </row>
    <row r="220" spans="1:34" x14ac:dyDescent="0.3">
      <c r="A220" s="2">
        <v>218</v>
      </c>
      <c r="B220" s="2" t="s">
        <v>573</v>
      </c>
      <c r="C220" s="2" t="s">
        <v>574</v>
      </c>
      <c r="D220" s="2">
        <v>170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3">
        <v>0.8</v>
      </c>
      <c r="AG220" s="2" t="s">
        <v>575</v>
      </c>
      <c r="AH220" s="2" t="s">
        <v>36</v>
      </c>
    </row>
    <row r="221" spans="1:34" x14ac:dyDescent="0.3">
      <c r="A221" s="2">
        <v>219</v>
      </c>
      <c r="B221" s="2" t="s">
        <v>576</v>
      </c>
      <c r="C221" s="2" t="s">
        <v>577</v>
      </c>
      <c r="D221" s="2">
        <v>171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3">
        <v>1300</v>
      </c>
      <c r="AG221" s="2" t="s">
        <v>578</v>
      </c>
      <c r="AH221" s="2" t="s">
        <v>36</v>
      </c>
    </row>
    <row r="222" spans="1:34" x14ac:dyDescent="0.3">
      <c r="A222" s="2">
        <v>220</v>
      </c>
      <c r="B222" s="2" t="s">
        <v>579</v>
      </c>
      <c r="C222" s="2" t="s">
        <v>580</v>
      </c>
      <c r="D222" s="2">
        <v>172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3">
        <v>3.8</v>
      </c>
      <c r="AG222" s="2" t="s">
        <v>581</v>
      </c>
      <c r="AH222" s="2" t="s">
        <v>36</v>
      </c>
    </row>
    <row r="223" spans="1:34" x14ac:dyDescent="0.3">
      <c r="A223" s="2">
        <v>221</v>
      </c>
      <c r="B223" s="2" t="s">
        <v>582</v>
      </c>
      <c r="C223" s="2" t="s">
        <v>583</v>
      </c>
      <c r="D223" s="2">
        <v>173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3">
        <v>3</v>
      </c>
      <c r="AG223" s="2" t="s">
        <v>584</v>
      </c>
      <c r="AH223" s="2" t="s">
        <v>36</v>
      </c>
    </row>
    <row r="224" spans="1:34" x14ac:dyDescent="0.3">
      <c r="A224" s="2">
        <v>222</v>
      </c>
      <c r="B224" s="2" t="s">
        <v>585</v>
      </c>
      <c r="C224" s="2" t="s">
        <v>586</v>
      </c>
      <c r="D224" s="2">
        <v>174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3">
        <v>0.94</v>
      </c>
      <c r="AG224" s="2" t="s">
        <v>482</v>
      </c>
      <c r="AH224" s="2" t="s">
        <v>36</v>
      </c>
    </row>
    <row r="225" spans="1:34" x14ac:dyDescent="0.3">
      <c r="A225" s="2">
        <v>223</v>
      </c>
      <c r="B225" s="2" t="s">
        <v>587</v>
      </c>
      <c r="C225" s="2" t="s">
        <v>588</v>
      </c>
      <c r="D225" s="2">
        <v>175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3">
        <v>840000</v>
      </c>
      <c r="AG225" s="2" t="s">
        <v>589</v>
      </c>
      <c r="AH225" s="2" t="s">
        <v>36</v>
      </c>
    </row>
    <row r="226" spans="1:34" x14ac:dyDescent="0.3">
      <c r="A226" s="2">
        <v>224</v>
      </c>
      <c r="B226" s="2" t="s">
        <v>590</v>
      </c>
      <c r="C226" s="2" t="s">
        <v>591</v>
      </c>
      <c r="D226" s="2">
        <v>176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3">
        <v>1700</v>
      </c>
      <c r="AG226" s="2" t="s">
        <v>592</v>
      </c>
      <c r="AH226" s="2" t="s">
        <v>36</v>
      </c>
    </row>
    <row r="227" spans="1:34" x14ac:dyDescent="0.3">
      <c r="A227" s="2">
        <v>225</v>
      </c>
      <c r="B227" s="2" t="s">
        <v>593</v>
      </c>
      <c r="C227" s="2" t="s">
        <v>591</v>
      </c>
      <c r="D227" s="2">
        <v>176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3">
        <v>3130000</v>
      </c>
      <c r="AG227" s="2" t="s">
        <v>594</v>
      </c>
      <c r="AH227" s="2" t="s">
        <v>36</v>
      </c>
    </row>
    <row r="228" spans="1:34" x14ac:dyDescent="0.3">
      <c r="A228" s="2">
        <v>226</v>
      </c>
      <c r="B228" s="2" t="s">
        <v>595</v>
      </c>
      <c r="C228" s="2" t="s">
        <v>596</v>
      </c>
      <c r="D228" s="2">
        <v>177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3">
        <v>579</v>
      </c>
      <c r="AG228" s="2" t="s">
        <v>597</v>
      </c>
      <c r="AH228" s="2" t="s">
        <v>32</v>
      </c>
    </row>
    <row r="229" spans="1:34" x14ac:dyDescent="0.3">
      <c r="A229" s="2">
        <v>227</v>
      </c>
      <c r="B229" s="2" t="s">
        <v>598</v>
      </c>
      <c r="C229" s="2" t="s">
        <v>596</v>
      </c>
      <c r="D229" s="2">
        <v>177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3">
        <v>290000</v>
      </c>
      <c r="AG229" s="2" t="s">
        <v>599</v>
      </c>
      <c r="AH229" s="2" t="s">
        <v>36</v>
      </c>
    </row>
    <row r="230" spans="1:34" x14ac:dyDescent="0.3">
      <c r="A230" s="2">
        <v>228</v>
      </c>
      <c r="B230" s="2" t="s">
        <v>600</v>
      </c>
      <c r="C230" s="2" t="s">
        <v>601</v>
      </c>
      <c r="D230" s="2">
        <v>178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3">
        <v>2700</v>
      </c>
      <c r="AG230" s="2" t="s">
        <v>602</v>
      </c>
      <c r="AH230" s="2" t="s">
        <v>32</v>
      </c>
    </row>
    <row r="231" spans="1:34" x14ac:dyDescent="0.3">
      <c r="A231" s="2">
        <v>229</v>
      </c>
      <c r="B231" s="2" t="s">
        <v>603</v>
      </c>
      <c r="C231" s="2" t="s">
        <v>601</v>
      </c>
      <c r="D231" s="2">
        <v>178</v>
      </c>
      <c r="E231" s="2">
        <v>0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3">
        <v>210000</v>
      </c>
      <c r="AG231" s="2" t="s">
        <v>604</v>
      </c>
      <c r="AH231" s="2" t="s">
        <v>36</v>
      </c>
    </row>
    <row r="232" spans="1:34" x14ac:dyDescent="0.3">
      <c r="A232" s="2">
        <v>230</v>
      </c>
      <c r="B232" s="2" t="s">
        <v>605</v>
      </c>
      <c r="C232" s="2" t="s">
        <v>460</v>
      </c>
      <c r="D232" s="2">
        <v>147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3">
        <v>2400000</v>
      </c>
      <c r="AG232" s="2" t="s">
        <v>606</v>
      </c>
      <c r="AH232" s="2" t="s">
        <v>36</v>
      </c>
    </row>
    <row r="233" spans="1:34" ht="15.75" x14ac:dyDescent="0.3">
      <c r="A233" s="2">
        <v>231</v>
      </c>
      <c r="B233" s="2" t="s">
        <v>1237</v>
      </c>
      <c r="C233" s="2" t="s">
        <v>607</v>
      </c>
      <c r="D233" s="2">
        <v>179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3">
        <v>7000000</v>
      </c>
      <c r="AG233" s="2" t="s">
        <v>608</v>
      </c>
      <c r="AH233" s="2" t="s">
        <v>36</v>
      </c>
    </row>
    <row r="234" spans="1:34" ht="15.75" x14ac:dyDescent="0.3">
      <c r="A234" s="2">
        <v>232</v>
      </c>
      <c r="B234" s="2" t="s">
        <v>1238</v>
      </c>
      <c r="C234" s="2" t="s">
        <v>609</v>
      </c>
      <c r="D234" s="2">
        <v>180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3">
        <v>1300000</v>
      </c>
      <c r="AG234" s="2" t="s">
        <v>610</v>
      </c>
      <c r="AH234" s="2" t="s">
        <v>36</v>
      </c>
    </row>
    <row r="235" spans="1:34" x14ac:dyDescent="0.3">
      <c r="A235" s="2">
        <v>233</v>
      </c>
      <c r="B235" s="2" t="s">
        <v>611</v>
      </c>
      <c r="C235" s="2" t="s">
        <v>612</v>
      </c>
      <c r="D235" s="2">
        <v>181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3">
        <v>2900</v>
      </c>
      <c r="AG235" s="2" t="s">
        <v>613</v>
      </c>
      <c r="AH235" s="2" t="s">
        <v>36</v>
      </c>
    </row>
    <row r="236" spans="1:34" x14ac:dyDescent="0.3">
      <c r="A236" s="2">
        <v>234</v>
      </c>
      <c r="B236" s="2" t="s">
        <v>614</v>
      </c>
      <c r="C236" s="2" t="s">
        <v>612</v>
      </c>
      <c r="D236" s="2">
        <v>181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3">
        <v>500</v>
      </c>
      <c r="AG236" s="2" t="s">
        <v>615</v>
      </c>
      <c r="AH236" s="2" t="s">
        <v>36</v>
      </c>
    </row>
    <row r="237" spans="1:34" x14ac:dyDescent="0.3">
      <c r="A237" s="2">
        <v>235</v>
      </c>
      <c r="B237" s="2" t="s">
        <v>616</v>
      </c>
      <c r="C237" s="2" t="s">
        <v>617</v>
      </c>
      <c r="D237" s="2">
        <v>182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3">
        <v>520000</v>
      </c>
      <c r="AG237" s="2" t="s">
        <v>618</v>
      </c>
      <c r="AH237" s="2" t="s">
        <v>36</v>
      </c>
    </row>
    <row r="238" spans="1:34" x14ac:dyDescent="0.3">
      <c r="A238" s="2">
        <v>236</v>
      </c>
      <c r="B238" s="2" t="s">
        <v>619</v>
      </c>
      <c r="C238" s="2" t="s">
        <v>620</v>
      </c>
      <c r="D238" s="2">
        <v>183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3">
        <v>12</v>
      </c>
      <c r="AG238" s="2" t="s">
        <v>621</v>
      </c>
      <c r="AH238" s="2" t="s">
        <v>36</v>
      </c>
    </row>
    <row r="239" spans="1:34" x14ac:dyDescent="0.3">
      <c r="A239" s="2">
        <v>237</v>
      </c>
      <c r="B239" s="2" t="s">
        <v>622</v>
      </c>
      <c r="C239" s="2" t="s">
        <v>620</v>
      </c>
      <c r="D239" s="2">
        <v>183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3">
        <v>130000</v>
      </c>
      <c r="AG239" s="2" t="s">
        <v>623</v>
      </c>
      <c r="AH239" s="2" t="s">
        <v>36</v>
      </c>
    </row>
    <row r="240" spans="1:34" x14ac:dyDescent="0.3">
      <c r="A240" s="2">
        <v>238</v>
      </c>
      <c r="B240" s="2" t="s">
        <v>624</v>
      </c>
      <c r="C240" s="2" t="s">
        <v>625</v>
      </c>
      <c r="D240" s="2">
        <v>184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3">
        <v>5</v>
      </c>
      <c r="AG240" s="2" t="s">
        <v>626</v>
      </c>
      <c r="AH240" s="2" t="s">
        <v>36</v>
      </c>
    </row>
    <row r="241" spans="1:34" x14ac:dyDescent="0.3">
      <c r="A241" s="2">
        <v>239</v>
      </c>
      <c r="B241" s="2" t="s">
        <v>627</v>
      </c>
      <c r="C241" s="2" t="s">
        <v>628</v>
      </c>
      <c r="D241" s="2">
        <v>185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3">
        <v>16</v>
      </c>
      <c r="AG241" s="2" t="s">
        <v>629</v>
      </c>
      <c r="AH241" s="2" t="s">
        <v>36</v>
      </c>
    </row>
    <row r="242" spans="1:34" x14ac:dyDescent="0.3">
      <c r="A242" s="2">
        <v>240</v>
      </c>
      <c r="B242" s="2" t="s">
        <v>630</v>
      </c>
      <c r="C242" s="2" t="s">
        <v>631</v>
      </c>
      <c r="D242" s="2">
        <v>186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3">
        <v>5</v>
      </c>
      <c r="AG242" s="2" t="s">
        <v>632</v>
      </c>
      <c r="AH242" s="2" t="s">
        <v>36</v>
      </c>
    </row>
    <row r="243" spans="1:34" x14ac:dyDescent="0.3">
      <c r="A243" s="2">
        <v>241</v>
      </c>
      <c r="B243" s="2" t="s">
        <v>633</v>
      </c>
      <c r="C243" s="2" t="s">
        <v>634</v>
      </c>
      <c r="D243" s="2">
        <v>187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3">
        <v>200</v>
      </c>
      <c r="AG243" s="2" t="s">
        <v>635</v>
      </c>
      <c r="AH243" s="2" t="s">
        <v>36</v>
      </c>
    </row>
    <row r="244" spans="1:34" x14ac:dyDescent="0.3">
      <c r="A244" s="2">
        <v>242</v>
      </c>
      <c r="B244" s="2" t="s">
        <v>636</v>
      </c>
      <c r="C244" s="2" t="s">
        <v>637</v>
      </c>
      <c r="D244" s="2">
        <v>188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3">
        <v>14</v>
      </c>
      <c r="AG244" s="2" t="s">
        <v>638</v>
      </c>
      <c r="AH244" s="2" t="s">
        <v>36</v>
      </c>
    </row>
    <row r="245" spans="1:34" x14ac:dyDescent="0.3">
      <c r="A245" s="2">
        <v>243</v>
      </c>
      <c r="B245" s="2" t="s">
        <v>639</v>
      </c>
      <c r="C245" s="2" t="s">
        <v>640</v>
      </c>
      <c r="D245" s="2">
        <v>189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3">
        <v>5</v>
      </c>
      <c r="AG245" s="2" t="s">
        <v>641</v>
      </c>
      <c r="AH245" s="2" t="s">
        <v>36</v>
      </c>
    </row>
    <row r="246" spans="1:34" x14ac:dyDescent="0.3">
      <c r="A246" s="2">
        <v>244</v>
      </c>
      <c r="B246" s="2" t="s">
        <v>642</v>
      </c>
      <c r="C246" s="2" t="s">
        <v>643</v>
      </c>
      <c r="D246" s="2">
        <v>190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3">
        <v>3500</v>
      </c>
      <c r="AG246" s="2" t="s">
        <v>644</v>
      </c>
      <c r="AH246" s="2" t="s">
        <v>36</v>
      </c>
    </row>
    <row r="247" spans="1:34" x14ac:dyDescent="0.3">
      <c r="A247" s="2">
        <v>245</v>
      </c>
      <c r="B247" s="2" t="s">
        <v>645</v>
      </c>
      <c r="C247" s="2" t="s">
        <v>643</v>
      </c>
      <c r="D247" s="2">
        <v>190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3">
        <v>40</v>
      </c>
      <c r="AG247" s="2" t="s">
        <v>646</v>
      </c>
      <c r="AH247" s="2" t="s">
        <v>36</v>
      </c>
    </row>
    <row r="248" spans="1:34" x14ac:dyDescent="0.3">
      <c r="A248" s="2">
        <v>246</v>
      </c>
      <c r="B248" s="2" t="s">
        <v>647</v>
      </c>
      <c r="C248" s="2" t="s">
        <v>648</v>
      </c>
      <c r="D248" s="2">
        <v>191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3">
        <v>1500000</v>
      </c>
      <c r="AG248" s="2" t="s">
        <v>649</v>
      </c>
      <c r="AH248" s="2" t="s">
        <v>32</v>
      </c>
    </row>
    <row r="249" spans="1:34" x14ac:dyDescent="0.3">
      <c r="A249" s="2">
        <v>247</v>
      </c>
      <c r="B249" s="2" t="s">
        <v>650</v>
      </c>
      <c r="C249" s="2" t="s">
        <v>648</v>
      </c>
      <c r="D249" s="2">
        <v>191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3">
        <v>1270</v>
      </c>
      <c r="AG249" s="2" t="s">
        <v>651</v>
      </c>
      <c r="AH249" s="2" t="s">
        <v>36</v>
      </c>
    </row>
    <row r="250" spans="1:34" x14ac:dyDescent="0.3">
      <c r="A250" s="2">
        <v>248</v>
      </c>
      <c r="B250" s="2" t="s">
        <v>652</v>
      </c>
      <c r="C250" s="2" t="s">
        <v>648</v>
      </c>
      <c r="D250" s="2">
        <v>191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3">
        <v>18</v>
      </c>
      <c r="AG250" s="2" t="s">
        <v>653</v>
      </c>
      <c r="AH250" s="2" t="s">
        <v>36</v>
      </c>
    </row>
    <row r="251" spans="1:34" x14ac:dyDescent="0.3">
      <c r="A251" s="2">
        <v>249</v>
      </c>
      <c r="B251" s="2" t="s">
        <v>654</v>
      </c>
      <c r="C251" s="2" t="s">
        <v>655</v>
      </c>
      <c r="D251" s="2">
        <v>192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3">
        <v>1400</v>
      </c>
      <c r="AG251" s="2" t="s">
        <v>656</v>
      </c>
      <c r="AH251" s="2" t="s">
        <v>32</v>
      </c>
    </row>
    <row r="252" spans="1:34" x14ac:dyDescent="0.3">
      <c r="A252" s="2">
        <v>250</v>
      </c>
      <c r="B252" s="2" t="s">
        <v>657</v>
      </c>
      <c r="C252" s="2" t="s">
        <v>658</v>
      </c>
      <c r="D252" s="2">
        <v>193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3">
        <v>3500</v>
      </c>
      <c r="AG252" s="2" t="s">
        <v>659</v>
      </c>
      <c r="AH252" s="2" t="s">
        <v>32</v>
      </c>
    </row>
    <row r="253" spans="1:34" x14ac:dyDescent="0.3">
      <c r="A253" s="2">
        <v>251</v>
      </c>
      <c r="B253" s="2" t="s">
        <v>660</v>
      </c>
      <c r="C253" s="2" t="s">
        <v>658</v>
      </c>
      <c r="D253" s="2">
        <v>193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3">
        <v>44</v>
      </c>
      <c r="AG253" s="2" t="s">
        <v>661</v>
      </c>
      <c r="AH253" s="2" t="s">
        <v>36</v>
      </c>
    </row>
    <row r="254" spans="1:34" x14ac:dyDescent="0.3">
      <c r="A254" s="2">
        <v>252</v>
      </c>
      <c r="B254" s="2" t="s">
        <v>662</v>
      </c>
      <c r="C254" s="2" t="s">
        <v>663</v>
      </c>
      <c r="D254" s="2">
        <v>194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3">
        <v>3400000</v>
      </c>
      <c r="AG254" s="2" t="s">
        <v>664</v>
      </c>
      <c r="AH254" s="2" t="s">
        <v>36</v>
      </c>
    </row>
    <row r="255" spans="1:34" x14ac:dyDescent="0.3">
      <c r="A255" s="2">
        <v>253</v>
      </c>
      <c r="B255" s="2" t="s">
        <v>665</v>
      </c>
      <c r="C255" s="2" t="s">
        <v>663</v>
      </c>
      <c r="D255" s="2">
        <v>194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3">
        <v>18000</v>
      </c>
      <c r="AG255" s="2" t="s">
        <v>666</v>
      </c>
      <c r="AH255" s="2" t="s">
        <v>36</v>
      </c>
    </row>
    <row r="256" spans="1:34" x14ac:dyDescent="0.3">
      <c r="A256" s="2">
        <v>254</v>
      </c>
      <c r="B256" s="2" t="s">
        <v>667</v>
      </c>
      <c r="C256" s="2" t="s">
        <v>663</v>
      </c>
      <c r="D256" s="2">
        <v>194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3">
        <v>250</v>
      </c>
      <c r="AG256" s="2" t="s">
        <v>668</v>
      </c>
      <c r="AH256" s="2" t="s">
        <v>36</v>
      </c>
    </row>
    <row r="257" spans="1:34" x14ac:dyDescent="0.3">
      <c r="A257" s="2">
        <v>255</v>
      </c>
      <c r="B257" s="2" t="s">
        <v>669</v>
      </c>
      <c r="C257" s="2" t="s">
        <v>670</v>
      </c>
      <c r="D257" s="2">
        <v>195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3">
        <v>19000</v>
      </c>
      <c r="AG257" s="2" t="s">
        <v>671</v>
      </c>
      <c r="AH257" s="2" t="s">
        <v>36</v>
      </c>
    </row>
    <row r="258" spans="1:34" x14ac:dyDescent="0.3">
      <c r="A258" s="2">
        <v>256</v>
      </c>
      <c r="B258" s="2" t="s">
        <v>672</v>
      </c>
      <c r="C258" s="2" t="s">
        <v>673</v>
      </c>
      <c r="D258" s="2">
        <v>196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3">
        <v>50000</v>
      </c>
      <c r="AG258" s="2" t="s">
        <v>674</v>
      </c>
      <c r="AH258" s="2" t="s">
        <v>32</v>
      </c>
    </row>
    <row r="259" spans="1:34" x14ac:dyDescent="0.3">
      <c r="A259" s="2">
        <v>257</v>
      </c>
      <c r="B259" s="2" t="s">
        <v>675</v>
      </c>
      <c r="C259" s="2" t="s">
        <v>676</v>
      </c>
      <c r="D259" s="2">
        <v>197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3">
        <v>4000000</v>
      </c>
      <c r="AG259" s="2" t="s">
        <v>677</v>
      </c>
      <c r="AH259" s="2" t="s">
        <v>36</v>
      </c>
    </row>
    <row r="260" spans="1:34" x14ac:dyDescent="0.3">
      <c r="A260" s="2">
        <v>258</v>
      </c>
      <c r="B260" s="2" t="s">
        <v>678</v>
      </c>
      <c r="C260" s="2" t="s">
        <v>676</v>
      </c>
      <c r="D260" s="2">
        <v>197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3">
        <v>16000</v>
      </c>
      <c r="AG260" s="2" t="s">
        <v>679</v>
      </c>
      <c r="AH260" s="2" t="s">
        <v>36</v>
      </c>
    </row>
    <row r="261" spans="1:34" x14ac:dyDescent="0.3">
      <c r="A261" s="2">
        <v>259</v>
      </c>
      <c r="B261" s="2" t="s">
        <v>680</v>
      </c>
      <c r="C261" s="2" t="s">
        <v>676</v>
      </c>
      <c r="D261" s="2">
        <v>197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3">
        <v>300</v>
      </c>
      <c r="AG261" s="2" t="s">
        <v>681</v>
      </c>
      <c r="AH261" s="2" t="s">
        <v>36</v>
      </c>
    </row>
    <row r="262" spans="1:34" x14ac:dyDescent="0.3">
      <c r="A262" s="2">
        <v>260</v>
      </c>
      <c r="B262" s="2" t="s">
        <v>682</v>
      </c>
      <c r="C262" s="2" t="s">
        <v>683</v>
      </c>
      <c r="D262" s="2">
        <v>198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3">
        <v>16000</v>
      </c>
      <c r="AG262" s="2" t="s">
        <v>684</v>
      </c>
      <c r="AH262" s="2" t="s">
        <v>36</v>
      </c>
    </row>
    <row r="263" spans="1:34" x14ac:dyDescent="0.3">
      <c r="A263" s="2">
        <v>261</v>
      </c>
      <c r="B263" s="2" t="s">
        <v>685</v>
      </c>
      <c r="C263" s="2" t="s">
        <v>686</v>
      </c>
      <c r="D263" s="2">
        <v>199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1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3">
        <v>3000000</v>
      </c>
      <c r="AG263" s="2" t="s">
        <v>687</v>
      </c>
      <c r="AH263" s="2" t="s">
        <v>36</v>
      </c>
    </row>
    <row r="264" spans="1:34" x14ac:dyDescent="0.3">
      <c r="A264" s="2">
        <v>262</v>
      </c>
      <c r="B264" s="2" t="s">
        <v>688</v>
      </c>
      <c r="C264" s="2" t="s">
        <v>686</v>
      </c>
      <c r="D264" s="2">
        <v>199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1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3">
        <v>32500</v>
      </c>
      <c r="AG264" s="2" t="s">
        <v>689</v>
      </c>
      <c r="AH264" s="2" t="s">
        <v>32</v>
      </c>
    </row>
    <row r="265" spans="1:34" x14ac:dyDescent="0.3">
      <c r="A265" s="2">
        <v>263</v>
      </c>
      <c r="B265" s="2" t="s">
        <v>690</v>
      </c>
      <c r="C265" s="2" t="s">
        <v>691</v>
      </c>
      <c r="D265" s="2">
        <v>200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3">
        <v>30000</v>
      </c>
      <c r="AG265" s="2" t="s">
        <v>692</v>
      </c>
      <c r="AH265" s="2" t="s">
        <v>36</v>
      </c>
    </row>
    <row r="266" spans="1:34" x14ac:dyDescent="0.3">
      <c r="A266" s="2">
        <v>264</v>
      </c>
      <c r="B266" s="2" t="s">
        <v>693</v>
      </c>
      <c r="C266" s="2" t="s">
        <v>694</v>
      </c>
      <c r="D266" s="2">
        <v>201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3">
        <v>1300000</v>
      </c>
      <c r="AG266" s="2" t="s">
        <v>695</v>
      </c>
      <c r="AH266" s="2" t="s">
        <v>36</v>
      </c>
    </row>
    <row r="267" spans="1:34" x14ac:dyDescent="0.3">
      <c r="A267" s="2">
        <v>265</v>
      </c>
      <c r="B267" s="2" t="s">
        <v>696</v>
      </c>
      <c r="C267" s="2" t="s">
        <v>694</v>
      </c>
      <c r="D267" s="2">
        <v>201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1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3">
        <v>4300</v>
      </c>
      <c r="AG267" s="2" t="s">
        <v>697</v>
      </c>
      <c r="AH267" s="2" t="s">
        <v>36</v>
      </c>
    </row>
    <row r="268" spans="1:34" x14ac:dyDescent="0.3">
      <c r="A268" s="2">
        <v>266</v>
      </c>
      <c r="B268" s="2" t="s">
        <v>698</v>
      </c>
      <c r="C268" s="2" t="s">
        <v>699</v>
      </c>
      <c r="D268" s="2">
        <v>202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3">
        <v>2500000</v>
      </c>
      <c r="AG268" s="2" t="s">
        <v>700</v>
      </c>
      <c r="AH268" s="2" t="s">
        <v>32</v>
      </c>
    </row>
    <row r="269" spans="1:34" x14ac:dyDescent="0.3">
      <c r="A269" s="2">
        <v>267</v>
      </c>
      <c r="B269" s="2" t="s">
        <v>701</v>
      </c>
      <c r="C269" s="2" t="s">
        <v>702</v>
      </c>
      <c r="D269" s="2">
        <v>203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3">
        <v>3700</v>
      </c>
      <c r="AG269" s="2" t="s">
        <v>703</v>
      </c>
      <c r="AH269" s="2" t="s">
        <v>36</v>
      </c>
    </row>
    <row r="270" spans="1:34" x14ac:dyDescent="0.3">
      <c r="A270" s="2">
        <v>268</v>
      </c>
      <c r="B270" s="2" t="s">
        <v>704</v>
      </c>
      <c r="C270" s="2" t="s">
        <v>705</v>
      </c>
      <c r="D270" s="2">
        <v>204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3">
        <v>2800</v>
      </c>
      <c r="AG270" s="2" t="s">
        <v>706</v>
      </c>
      <c r="AH270" s="2" t="s">
        <v>36</v>
      </c>
    </row>
    <row r="271" spans="1:34" x14ac:dyDescent="0.3">
      <c r="A271" s="2">
        <v>269</v>
      </c>
      <c r="B271" s="2" t="s">
        <v>707</v>
      </c>
      <c r="C271" s="2" t="s">
        <v>708</v>
      </c>
      <c r="D271" s="2">
        <v>205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1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3">
        <v>600000</v>
      </c>
      <c r="AG271" s="2" t="s">
        <v>709</v>
      </c>
      <c r="AH271" s="2" t="s">
        <v>36</v>
      </c>
    </row>
    <row r="272" spans="1:34" x14ac:dyDescent="0.3">
      <c r="A272" s="2">
        <v>270</v>
      </c>
      <c r="B272" s="2" t="s">
        <v>710</v>
      </c>
      <c r="C272" s="2" t="s">
        <v>708</v>
      </c>
      <c r="D272" s="2">
        <v>205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3">
        <v>140</v>
      </c>
      <c r="AG272" s="2" t="s">
        <v>711</v>
      </c>
      <c r="AH272" s="2" t="s">
        <v>36</v>
      </c>
    </row>
    <row r="273" spans="1:34" x14ac:dyDescent="0.3">
      <c r="A273" s="2">
        <v>271</v>
      </c>
      <c r="B273" s="2" t="s">
        <v>712</v>
      </c>
      <c r="C273" s="2" t="s">
        <v>713</v>
      </c>
      <c r="D273" s="2">
        <v>206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3">
        <v>5900</v>
      </c>
      <c r="AG273" s="2" t="s">
        <v>714</v>
      </c>
      <c r="AH273" s="2" t="s">
        <v>36</v>
      </c>
    </row>
    <row r="274" spans="1:34" x14ac:dyDescent="0.3">
      <c r="A274" s="2">
        <v>272</v>
      </c>
      <c r="B274" s="2" t="s">
        <v>715</v>
      </c>
      <c r="C274" s="2" t="s">
        <v>716</v>
      </c>
      <c r="D274" s="2">
        <v>207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3">
        <v>650</v>
      </c>
      <c r="AG274" s="2" t="s">
        <v>717</v>
      </c>
      <c r="AH274" s="2" t="s">
        <v>36</v>
      </c>
    </row>
    <row r="275" spans="1:34" x14ac:dyDescent="0.3">
      <c r="A275" s="2">
        <v>273</v>
      </c>
      <c r="B275" s="2" t="s">
        <v>718</v>
      </c>
      <c r="C275" s="2" t="s">
        <v>716</v>
      </c>
      <c r="D275" s="2">
        <v>207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3">
        <v>920000</v>
      </c>
      <c r="AG275" s="2" t="s">
        <v>719</v>
      </c>
      <c r="AH275" s="2" t="s">
        <v>36</v>
      </c>
    </row>
    <row r="276" spans="1:34" x14ac:dyDescent="0.3">
      <c r="A276" s="2">
        <v>274</v>
      </c>
      <c r="B276" s="2" t="s">
        <v>720</v>
      </c>
      <c r="C276" s="2" t="s">
        <v>721</v>
      </c>
      <c r="D276" s="2">
        <v>208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3">
        <v>90000000</v>
      </c>
      <c r="AG276" s="2" t="s">
        <v>722</v>
      </c>
      <c r="AH276" s="2" t="s">
        <v>36</v>
      </c>
    </row>
    <row r="277" spans="1:34" x14ac:dyDescent="0.3">
      <c r="A277" s="2">
        <v>275</v>
      </c>
      <c r="B277" s="2" t="s">
        <v>723</v>
      </c>
      <c r="C277" s="2" t="s">
        <v>724</v>
      </c>
      <c r="D277" s="2">
        <v>209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1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3">
        <v>7800000</v>
      </c>
      <c r="AG277" s="2" t="s">
        <v>725</v>
      </c>
      <c r="AH277" s="2" t="s">
        <v>32</v>
      </c>
    </row>
    <row r="278" spans="1:34" x14ac:dyDescent="0.3">
      <c r="A278" s="2">
        <v>276</v>
      </c>
      <c r="B278" s="2" t="s">
        <v>726</v>
      </c>
      <c r="C278" s="2" t="s">
        <v>727</v>
      </c>
      <c r="D278" s="2">
        <v>210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1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3">
        <v>10000000</v>
      </c>
      <c r="AG278" s="2" t="s">
        <v>728</v>
      </c>
      <c r="AH278" s="2" t="s">
        <v>36</v>
      </c>
    </row>
    <row r="279" spans="1:34" x14ac:dyDescent="0.3">
      <c r="A279" s="2">
        <v>277</v>
      </c>
      <c r="B279" s="2" t="s">
        <v>729</v>
      </c>
      <c r="C279" s="2" t="s">
        <v>730</v>
      </c>
      <c r="D279" s="2">
        <v>211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1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3">
        <v>840000</v>
      </c>
      <c r="AG279" s="2" t="s">
        <v>731</v>
      </c>
      <c r="AH279" s="2" t="s">
        <v>36</v>
      </c>
    </row>
    <row r="280" spans="1:34" x14ac:dyDescent="0.3">
      <c r="A280" s="2">
        <v>278</v>
      </c>
      <c r="B280" s="2" t="s">
        <v>732</v>
      </c>
      <c r="C280" s="2" t="s">
        <v>733</v>
      </c>
      <c r="D280" s="2">
        <v>212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1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3">
        <v>7300000</v>
      </c>
      <c r="AG280" s="2" t="s">
        <v>734</v>
      </c>
      <c r="AH280" s="2" t="s">
        <v>36</v>
      </c>
    </row>
    <row r="281" spans="1:34" x14ac:dyDescent="0.3">
      <c r="A281" s="2">
        <v>279</v>
      </c>
      <c r="B281" s="2" t="s">
        <v>735</v>
      </c>
      <c r="C281" s="2" t="s">
        <v>736</v>
      </c>
      <c r="D281" s="2">
        <v>213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3">
        <v>8100000</v>
      </c>
      <c r="AG281" s="2" t="s">
        <v>737</v>
      </c>
      <c r="AH281" s="2" t="s">
        <v>32</v>
      </c>
    </row>
    <row r="282" spans="1:34" x14ac:dyDescent="0.3">
      <c r="A282" s="2">
        <v>280</v>
      </c>
      <c r="B282" s="2" t="s">
        <v>738</v>
      </c>
      <c r="C282" s="2" t="s">
        <v>739</v>
      </c>
      <c r="D282" s="2">
        <v>214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3">
        <v>12000000</v>
      </c>
      <c r="AG282" s="2" t="s">
        <v>740</v>
      </c>
      <c r="AH282" s="2" t="s">
        <v>36</v>
      </c>
    </row>
    <row r="283" spans="1:34" x14ac:dyDescent="0.3">
      <c r="A283" s="2">
        <v>281</v>
      </c>
      <c r="B283" s="2" t="s">
        <v>741</v>
      </c>
      <c r="C283" s="2" t="s">
        <v>742</v>
      </c>
      <c r="D283" s="2">
        <v>215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1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3">
        <v>7400000</v>
      </c>
      <c r="AG283" s="2" t="s">
        <v>743</v>
      </c>
      <c r="AH283" s="2" t="s">
        <v>36</v>
      </c>
    </row>
    <row r="284" spans="1:34" x14ac:dyDescent="0.3">
      <c r="A284" s="2">
        <v>282</v>
      </c>
      <c r="B284" s="2" t="s">
        <v>744</v>
      </c>
      <c r="C284" s="2" t="s">
        <v>745</v>
      </c>
      <c r="D284" s="2">
        <v>216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1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3">
        <v>9200000</v>
      </c>
      <c r="AG284" s="2" t="s">
        <v>746</v>
      </c>
      <c r="AH284" s="2" t="s">
        <v>32</v>
      </c>
    </row>
    <row r="285" spans="1:34" x14ac:dyDescent="0.3">
      <c r="A285" s="2">
        <v>283</v>
      </c>
      <c r="B285" s="2" t="s">
        <v>747</v>
      </c>
      <c r="C285" s="2" t="s">
        <v>748</v>
      </c>
      <c r="D285" s="2">
        <v>217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3">
        <v>17000000</v>
      </c>
      <c r="AG285" s="2" t="s">
        <v>749</v>
      </c>
      <c r="AH285" s="2" t="s">
        <v>36</v>
      </c>
    </row>
    <row r="286" spans="1:34" x14ac:dyDescent="0.3">
      <c r="A286" s="2">
        <v>284</v>
      </c>
      <c r="B286" s="2" t="s">
        <v>750</v>
      </c>
      <c r="C286" s="2" t="s">
        <v>751</v>
      </c>
      <c r="D286" s="2">
        <v>218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3">
        <v>19000000</v>
      </c>
      <c r="AG286" s="2" t="s">
        <v>752</v>
      </c>
      <c r="AH286" s="2" t="s">
        <v>36</v>
      </c>
    </row>
    <row r="287" spans="1:34" x14ac:dyDescent="0.3">
      <c r="A287" s="2">
        <v>285</v>
      </c>
      <c r="B287" s="2" t="s">
        <v>753</v>
      </c>
      <c r="C287" s="2" t="s">
        <v>754</v>
      </c>
      <c r="D287" s="2">
        <v>219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1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3">
        <v>47000</v>
      </c>
      <c r="AG287" s="2" t="s">
        <v>335</v>
      </c>
      <c r="AH287" s="2" t="s">
        <v>36</v>
      </c>
    </row>
    <row r="288" spans="1:34" x14ac:dyDescent="0.3">
      <c r="A288" s="2">
        <v>286</v>
      </c>
      <c r="B288" s="2" t="s">
        <v>755</v>
      </c>
      <c r="C288" s="2" t="s">
        <v>756</v>
      </c>
      <c r="D288" s="2">
        <v>220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3">
        <v>2400000</v>
      </c>
      <c r="AG288" s="2" t="s">
        <v>757</v>
      </c>
      <c r="AH288" s="2" t="s">
        <v>36</v>
      </c>
    </row>
    <row r="289" spans="1:34" x14ac:dyDescent="0.3">
      <c r="A289" s="2">
        <v>287</v>
      </c>
      <c r="B289" s="2" t="s">
        <v>758</v>
      </c>
      <c r="C289" s="2" t="s">
        <v>759</v>
      </c>
      <c r="D289" s="2">
        <v>221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3">
        <v>140000</v>
      </c>
      <c r="AG289" s="2" t="s">
        <v>760</v>
      </c>
      <c r="AH289" s="2" t="s">
        <v>36</v>
      </c>
    </row>
    <row r="290" spans="1:34" x14ac:dyDescent="0.3">
      <c r="A290" s="2">
        <v>288</v>
      </c>
      <c r="B290" s="2" t="s">
        <v>761</v>
      </c>
      <c r="C290" s="2" t="s">
        <v>762</v>
      </c>
      <c r="D290" s="2">
        <v>222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1</v>
      </c>
      <c r="W290" s="2">
        <v>0</v>
      </c>
      <c r="X290" s="2">
        <v>1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3">
        <v>570000</v>
      </c>
      <c r="AG290" s="2" t="s">
        <v>763</v>
      </c>
      <c r="AH290" s="2" t="s">
        <v>36</v>
      </c>
    </row>
    <row r="291" spans="1:34" x14ac:dyDescent="0.3">
      <c r="A291" s="2">
        <v>289</v>
      </c>
      <c r="B291" s="2" t="s">
        <v>764</v>
      </c>
      <c r="C291" s="2" t="s">
        <v>762</v>
      </c>
      <c r="D291" s="2">
        <v>222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1</v>
      </c>
      <c r="W291" s="2">
        <v>0</v>
      </c>
      <c r="X291" s="2">
        <v>1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3">
        <v>47000</v>
      </c>
      <c r="AG291" s="2" t="s">
        <v>765</v>
      </c>
      <c r="AH291" s="2" t="s">
        <v>36</v>
      </c>
    </row>
    <row r="292" spans="1:34" x14ac:dyDescent="0.3">
      <c r="A292" s="2">
        <v>290</v>
      </c>
      <c r="B292" s="2" t="s">
        <v>766</v>
      </c>
      <c r="C292" s="2" t="s">
        <v>767</v>
      </c>
      <c r="D292" s="2">
        <v>223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3">
        <v>260</v>
      </c>
      <c r="AG292" s="2" t="s">
        <v>768</v>
      </c>
      <c r="AH292" s="2" t="s">
        <v>36</v>
      </c>
    </row>
    <row r="293" spans="1:34" x14ac:dyDescent="0.3">
      <c r="A293" s="2">
        <v>291</v>
      </c>
      <c r="B293" s="2" t="s">
        <v>769</v>
      </c>
      <c r="C293" s="2" t="s">
        <v>767</v>
      </c>
      <c r="D293" s="2">
        <v>223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1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3">
        <v>20</v>
      </c>
      <c r="AG293" s="2" t="s">
        <v>770</v>
      </c>
      <c r="AH293" s="2" t="s">
        <v>32</v>
      </c>
    </row>
    <row r="294" spans="1:34" x14ac:dyDescent="0.3">
      <c r="A294" s="2">
        <v>292</v>
      </c>
      <c r="B294" s="2" t="s">
        <v>771</v>
      </c>
      <c r="C294" s="2" t="s">
        <v>772</v>
      </c>
      <c r="D294" s="2">
        <v>224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3">
        <v>54</v>
      </c>
      <c r="AG294" s="2" t="s">
        <v>773</v>
      </c>
      <c r="AH294" s="2" t="s">
        <v>36</v>
      </c>
    </row>
    <row r="295" spans="1:34" x14ac:dyDescent="0.3">
      <c r="A295" s="2">
        <v>293</v>
      </c>
      <c r="B295" s="2" t="s">
        <v>774</v>
      </c>
      <c r="C295" s="2" t="s">
        <v>775</v>
      </c>
      <c r="D295" s="2">
        <v>225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1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3">
        <v>220</v>
      </c>
      <c r="AG295" s="2" t="s">
        <v>776</v>
      </c>
      <c r="AH295" s="2" t="s">
        <v>36</v>
      </c>
    </row>
    <row r="296" spans="1:34" x14ac:dyDescent="0.3">
      <c r="A296" s="2">
        <v>294</v>
      </c>
      <c r="B296" s="2" t="s">
        <v>777</v>
      </c>
      <c r="C296" s="2" t="s">
        <v>454</v>
      </c>
      <c r="D296" s="2">
        <v>145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1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3">
        <v>170000</v>
      </c>
      <c r="AG296" s="2" t="s">
        <v>778</v>
      </c>
      <c r="AH296" s="2" t="s">
        <v>36</v>
      </c>
    </row>
    <row r="297" spans="1:34" x14ac:dyDescent="0.3">
      <c r="A297" s="2">
        <v>295</v>
      </c>
      <c r="B297" s="2" t="s">
        <v>779</v>
      </c>
      <c r="C297" s="2" t="s">
        <v>780</v>
      </c>
      <c r="D297" s="2">
        <v>226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3">
        <v>150</v>
      </c>
      <c r="AG297" s="2" t="s">
        <v>781</v>
      </c>
      <c r="AH297" s="2" t="s">
        <v>36</v>
      </c>
    </row>
    <row r="298" spans="1:34" x14ac:dyDescent="0.3">
      <c r="A298" s="2">
        <v>296</v>
      </c>
      <c r="B298" s="2" t="s">
        <v>782</v>
      </c>
      <c r="C298" s="2" t="s">
        <v>783</v>
      </c>
      <c r="D298" s="2">
        <v>227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3">
        <v>3</v>
      </c>
      <c r="AG298" s="2" t="s">
        <v>784</v>
      </c>
      <c r="AH298" s="2" t="s">
        <v>36</v>
      </c>
    </row>
    <row r="299" spans="1:34" x14ac:dyDescent="0.3">
      <c r="A299" s="2">
        <v>297</v>
      </c>
      <c r="B299" s="2" t="s">
        <v>785</v>
      </c>
      <c r="C299" s="2" t="s">
        <v>783</v>
      </c>
      <c r="D299" s="2">
        <v>227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3">
        <v>0.01</v>
      </c>
      <c r="AG299" s="2" t="s">
        <v>786</v>
      </c>
      <c r="AH299" s="2" t="s">
        <v>36</v>
      </c>
    </row>
    <row r="300" spans="1:34" x14ac:dyDescent="0.3">
      <c r="A300" s="2">
        <v>298</v>
      </c>
      <c r="B300" s="2" t="s">
        <v>787</v>
      </c>
      <c r="C300" s="2" t="s">
        <v>788</v>
      </c>
      <c r="D300" s="2">
        <v>228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1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3">
        <v>6</v>
      </c>
      <c r="AG300" s="2" t="s">
        <v>789</v>
      </c>
      <c r="AH300" s="2" t="s">
        <v>36</v>
      </c>
    </row>
    <row r="301" spans="1:34" x14ac:dyDescent="0.3">
      <c r="A301" s="2">
        <v>299</v>
      </c>
      <c r="B301" s="2" t="s">
        <v>790</v>
      </c>
      <c r="C301" s="2" t="s">
        <v>791</v>
      </c>
      <c r="D301" s="2">
        <v>229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1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3">
        <v>0.18</v>
      </c>
      <c r="AG301" s="2" t="s">
        <v>792</v>
      </c>
      <c r="AH301" s="2" t="s">
        <v>32</v>
      </c>
    </row>
    <row r="302" spans="1:34" x14ac:dyDescent="0.3">
      <c r="A302" s="2">
        <v>300</v>
      </c>
      <c r="B302" s="2" t="s">
        <v>793</v>
      </c>
      <c r="C302" s="2" t="s">
        <v>794</v>
      </c>
      <c r="D302" s="2">
        <v>230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3">
        <v>0.1</v>
      </c>
      <c r="AG302" s="2" t="s">
        <v>795</v>
      </c>
      <c r="AH302" s="2" t="s">
        <v>36</v>
      </c>
    </row>
    <row r="303" spans="1:34" x14ac:dyDescent="0.3">
      <c r="A303" s="2">
        <v>301</v>
      </c>
      <c r="B303" s="2" t="s">
        <v>796</v>
      </c>
      <c r="C303" s="2" t="s">
        <v>797</v>
      </c>
      <c r="D303" s="2">
        <v>231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1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3">
        <v>3.1</v>
      </c>
      <c r="AG303" s="2" t="s">
        <v>798</v>
      </c>
      <c r="AH303" s="2" t="s">
        <v>36</v>
      </c>
    </row>
    <row r="304" spans="1:34" x14ac:dyDescent="0.3">
      <c r="A304" s="2">
        <v>302</v>
      </c>
      <c r="B304" s="2" t="s">
        <v>799</v>
      </c>
      <c r="C304" s="2" t="s">
        <v>800</v>
      </c>
      <c r="D304" s="2">
        <v>232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3">
        <v>4.8</v>
      </c>
      <c r="AG304" s="2" t="s">
        <v>801</v>
      </c>
      <c r="AH304" s="2" t="s">
        <v>36</v>
      </c>
    </row>
    <row r="305" spans="1:34" x14ac:dyDescent="0.3">
      <c r="A305" s="2">
        <v>303</v>
      </c>
      <c r="B305" s="2" t="s">
        <v>802</v>
      </c>
      <c r="C305" s="2" t="s">
        <v>803</v>
      </c>
      <c r="D305" s="2">
        <v>233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1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3">
        <v>35.5</v>
      </c>
      <c r="AG305" s="2" t="s">
        <v>804</v>
      </c>
      <c r="AH305" s="2" t="s">
        <v>32</v>
      </c>
    </row>
    <row r="306" spans="1:34" x14ac:dyDescent="0.3">
      <c r="A306" s="2">
        <v>304</v>
      </c>
      <c r="B306" s="2" t="s">
        <v>805</v>
      </c>
      <c r="C306" s="2" t="s">
        <v>803</v>
      </c>
      <c r="D306" s="2">
        <v>233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3">
        <v>2650</v>
      </c>
      <c r="AG306" s="2" t="s">
        <v>806</v>
      </c>
      <c r="AH306" s="2" t="s">
        <v>36</v>
      </c>
    </row>
    <row r="307" spans="1:34" x14ac:dyDescent="0.3">
      <c r="A307" s="2">
        <v>305</v>
      </c>
      <c r="B307" s="2" t="s">
        <v>807</v>
      </c>
      <c r="C307" s="2" t="s">
        <v>808</v>
      </c>
      <c r="D307" s="2">
        <v>234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1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3">
        <v>13</v>
      </c>
      <c r="AG307" s="2" t="s">
        <v>809</v>
      </c>
      <c r="AH307" s="2" t="s">
        <v>36</v>
      </c>
    </row>
    <row r="308" spans="1:34" x14ac:dyDescent="0.3">
      <c r="A308" s="2">
        <v>306</v>
      </c>
      <c r="B308" s="2" t="s">
        <v>810</v>
      </c>
      <c r="C308" s="2" t="s">
        <v>808</v>
      </c>
      <c r="D308" s="2">
        <v>234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3">
        <v>630</v>
      </c>
      <c r="AG308" s="2" t="s">
        <v>811</v>
      </c>
      <c r="AH308" s="2" t="s">
        <v>36</v>
      </c>
    </row>
    <row r="309" spans="1:34" x14ac:dyDescent="0.3">
      <c r="A309" s="2">
        <v>307</v>
      </c>
      <c r="B309" s="2" t="s">
        <v>812</v>
      </c>
      <c r="C309" s="2" t="s">
        <v>813</v>
      </c>
      <c r="D309" s="2">
        <v>235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3">
        <v>880</v>
      </c>
      <c r="AG309" s="2" t="s">
        <v>814</v>
      </c>
      <c r="AH309" s="2" t="s">
        <v>36</v>
      </c>
    </row>
    <row r="310" spans="1:34" x14ac:dyDescent="0.3">
      <c r="A310" s="2">
        <v>308</v>
      </c>
      <c r="B310" s="2" t="s">
        <v>815</v>
      </c>
      <c r="C310" s="2" t="s">
        <v>813</v>
      </c>
      <c r="D310" s="2">
        <v>235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1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3">
        <v>33000</v>
      </c>
      <c r="AG310" s="2" t="s">
        <v>816</v>
      </c>
      <c r="AH310" s="2" t="s">
        <v>32</v>
      </c>
    </row>
    <row r="311" spans="1:34" x14ac:dyDescent="0.3">
      <c r="A311" s="2">
        <v>309</v>
      </c>
      <c r="B311" s="2" t="s">
        <v>817</v>
      </c>
      <c r="C311" s="2" t="s">
        <v>818</v>
      </c>
      <c r="D311" s="2">
        <v>236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3">
        <v>164</v>
      </c>
      <c r="AG311" s="2" t="s">
        <v>819</v>
      </c>
      <c r="AH311" s="2" t="s">
        <v>36</v>
      </c>
    </row>
    <row r="312" spans="1:34" x14ac:dyDescent="0.3">
      <c r="A312" s="2">
        <v>310</v>
      </c>
      <c r="B312" s="2" t="s">
        <v>820</v>
      </c>
      <c r="C312" s="2" t="s">
        <v>818</v>
      </c>
      <c r="D312" s="2">
        <v>236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3">
        <v>10000</v>
      </c>
      <c r="AG312" s="2" t="s">
        <v>821</v>
      </c>
      <c r="AH312" s="2" t="s">
        <v>36</v>
      </c>
    </row>
    <row r="313" spans="1:34" x14ac:dyDescent="0.3">
      <c r="A313" s="2">
        <v>311</v>
      </c>
      <c r="B313" s="2" t="s">
        <v>822</v>
      </c>
      <c r="C313" s="2" t="s">
        <v>823</v>
      </c>
      <c r="D313" s="2">
        <v>237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3">
        <v>1060000000</v>
      </c>
      <c r="AG313" s="2" t="s">
        <v>824</v>
      </c>
      <c r="AH313" s="2" t="s">
        <v>36</v>
      </c>
    </row>
    <row r="314" spans="1:34" x14ac:dyDescent="0.3">
      <c r="A314" s="2">
        <v>312</v>
      </c>
      <c r="B314" s="2" t="s">
        <v>825</v>
      </c>
      <c r="C314" s="2" t="s">
        <v>823</v>
      </c>
      <c r="D314" s="2">
        <v>237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3">
        <v>1900000000</v>
      </c>
      <c r="AG314" s="2" t="s">
        <v>826</v>
      </c>
      <c r="AH314" s="2" t="s">
        <v>36</v>
      </c>
    </row>
    <row r="315" spans="1:34" x14ac:dyDescent="0.3">
      <c r="A315" s="2">
        <v>313</v>
      </c>
      <c r="B315" s="2" t="s">
        <v>827</v>
      </c>
      <c r="C315" s="2" t="s">
        <v>828</v>
      </c>
      <c r="D315" s="2">
        <v>238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1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3">
        <v>200000000</v>
      </c>
      <c r="AG315" s="2" t="s">
        <v>829</v>
      </c>
      <c r="AH315" s="2" t="s">
        <v>36</v>
      </c>
    </row>
    <row r="316" spans="1:34" x14ac:dyDescent="0.3">
      <c r="A316" s="2">
        <v>314</v>
      </c>
      <c r="B316" s="2" t="s">
        <v>830</v>
      </c>
      <c r="C316" s="2" t="s">
        <v>831</v>
      </c>
      <c r="D316" s="2">
        <v>239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3">
        <v>600000000</v>
      </c>
      <c r="AG316" s="2" t="s">
        <v>832</v>
      </c>
      <c r="AH316" s="2" t="s">
        <v>36</v>
      </c>
    </row>
    <row r="317" spans="1:34" x14ac:dyDescent="0.3">
      <c r="A317" s="2">
        <v>315</v>
      </c>
      <c r="B317" s="2" t="s">
        <v>833</v>
      </c>
      <c r="C317" s="2" t="s">
        <v>834</v>
      </c>
      <c r="D317" s="2">
        <v>240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3">
        <v>8000000000</v>
      </c>
      <c r="AG317" s="2" t="s">
        <v>835</v>
      </c>
      <c r="AH317" s="2" t="s">
        <v>36</v>
      </c>
    </row>
    <row r="318" spans="1:34" x14ac:dyDescent="0.3">
      <c r="A318" s="2">
        <v>316</v>
      </c>
      <c r="B318" s="2" t="s">
        <v>836</v>
      </c>
      <c r="C318" s="2" t="s">
        <v>837</v>
      </c>
      <c r="D318" s="2">
        <v>241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3">
        <v>17000000</v>
      </c>
      <c r="AG318" s="2" t="s">
        <v>838</v>
      </c>
      <c r="AH318" s="2" t="s">
        <v>36</v>
      </c>
    </row>
    <row r="319" spans="1:34" x14ac:dyDescent="0.3">
      <c r="A319" s="2">
        <v>317</v>
      </c>
      <c r="B319" s="2" t="s">
        <v>839</v>
      </c>
      <c r="C319" s="2" t="s">
        <v>840</v>
      </c>
      <c r="D319" s="2">
        <v>242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1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3">
        <v>6800000000</v>
      </c>
      <c r="AG319" s="2" t="s">
        <v>841</v>
      </c>
      <c r="AH319" s="2" t="s">
        <v>32</v>
      </c>
    </row>
    <row r="320" spans="1:34" x14ac:dyDescent="0.3">
      <c r="A320" s="2">
        <v>318</v>
      </c>
      <c r="B320" s="2" t="s">
        <v>842</v>
      </c>
      <c r="C320" s="2" t="s">
        <v>843</v>
      </c>
      <c r="D320" s="2">
        <v>243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3">
        <v>6830000000</v>
      </c>
      <c r="AG320" s="2" t="s">
        <v>844</v>
      </c>
      <c r="AH320" s="2" t="s">
        <v>32</v>
      </c>
    </row>
    <row r="321" spans="1:34" x14ac:dyDescent="0.3">
      <c r="A321" s="2">
        <v>319</v>
      </c>
      <c r="B321" s="2" t="s">
        <v>845</v>
      </c>
      <c r="C321" s="2" t="s">
        <v>846</v>
      </c>
      <c r="D321" s="2">
        <v>244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1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3">
        <v>3700000000</v>
      </c>
      <c r="AG321" s="2" t="s">
        <v>847</v>
      </c>
      <c r="AH321" s="2" t="s">
        <v>32</v>
      </c>
    </row>
    <row r="322" spans="1:34" x14ac:dyDescent="0.3">
      <c r="A322" s="2">
        <v>320</v>
      </c>
      <c r="B322" s="2" t="s">
        <v>848</v>
      </c>
      <c r="C322" s="2" t="s">
        <v>849</v>
      </c>
      <c r="D322" s="2">
        <v>245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3">
        <v>3900000000</v>
      </c>
      <c r="AG322" s="2" t="s">
        <v>850</v>
      </c>
      <c r="AH322" s="2" t="s">
        <v>36</v>
      </c>
    </row>
    <row r="323" spans="1:34" x14ac:dyDescent="0.3">
      <c r="A323" s="2">
        <v>321</v>
      </c>
      <c r="B323" s="2" t="s">
        <v>851</v>
      </c>
      <c r="C323" s="2" t="s">
        <v>852</v>
      </c>
      <c r="D323" s="2">
        <v>246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3">
        <v>4200000000</v>
      </c>
      <c r="AG323" s="2" t="s">
        <v>853</v>
      </c>
      <c r="AH323" s="2" t="s">
        <v>32</v>
      </c>
    </row>
    <row r="324" spans="1:34" x14ac:dyDescent="0.3">
      <c r="A324" s="2">
        <v>322</v>
      </c>
      <c r="B324" s="2" t="s">
        <v>854</v>
      </c>
      <c r="C324" s="2" t="s">
        <v>855</v>
      </c>
      <c r="D324" s="2">
        <v>247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3">
        <v>1700000</v>
      </c>
      <c r="AG324" s="2" t="s">
        <v>856</v>
      </c>
      <c r="AH324" s="2" t="s">
        <v>32</v>
      </c>
    </row>
    <row r="325" spans="1:34" x14ac:dyDescent="0.3">
      <c r="A325" s="2">
        <v>323</v>
      </c>
      <c r="B325" s="2" t="s">
        <v>857</v>
      </c>
      <c r="C325" s="2" t="s">
        <v>858</v>
      </c>
      <c r="D325" s="2">
        <v>248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1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3">
        <v>1200000</v>
      </c>
      <c r="AG325" s="2" t="s">
        <v>859</v>
      </c>
      <c r="AH325" s="2" t="s">
        <v>36</v>
      </c>
    </row>
    <row r="326" spans="1:34" x14ac:dyDescent="0.3">
      <c r="A326" s="2">
        <v>324</v>
      </c>
      <c r="B326" s="2" t="s">
        <v>860</v>
      </c>
      <c r="C326" s="2" t="s">
        <v>861</v>
      </c>
      <c r="D326" s="2">
        <v>249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3">
        <v>1400000000</v>
      </c>
      <c r="AG326" s="2" t="s">
        <v>862</v>
      </c>
      <c r="AH326" s="2" t="s">
        <v>32</v>
      </c>
    </row>
    <row r="327" spans="1:34" x14ac:dyDescent="0.3">
      <c r="A327" s="2">
        <v>325</v>
      </c>
      <c r="B327" s="2" t="s">
        <v>863</v>
      </c>
      <c r="C327" s="2" t="s">
        <v>864</v>
      </c>
      <c r="D327" s="2">
        <v>250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3">
        <v>1000000000</v>
      </c>
      <c r="AG327" s="2" t="s">
        <v>865</v>
      </c>
      <c r="AH327" s="2" t="s">
        <v>36</v>
      </c>
    </row>
    <row r="328" spans="1:34" x14ac:dyDescent="0.3">
      <c r="A328" s="2">
        <v>326</v>
      </c>
      <c r="B328" s="2" t="s">
        <v>866</v>
      </c>
      <c r="C328" s="2" t="s">
        <v>867</v>
      </c>
      <c r="D328" s="2">
        <v>251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1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3">
        <v>100000000</v>
      </c>
      <c r="AG328" s="2" t="s">
        <v>868</v>
      </c>
      <c r="AH328" s="2" t="s">
        <v>36</v>
      </c>
    </row>
    <row r="329" spans="1:34" x14ac:dyDescent="0.3">
      <c r="A329" s="2">
        <v>327</v>
      </c>
      <c r="B329" s="2" t="s">
        <v>869</v>
      </c>
      <c r="C329" s="2" t="s">
        <v>870</v>
      </c>
      <c r="D329" s="2">
        <v>252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1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3">
        <v>510000000</v>
      </c>
      <c r="AG329" s="2" t="s">
        <v>871</v>
      </c>
      <c r="AH329" s="2" t="s">
        <v>36</v>
      </c>
    </row>
    <row r="330" spans="1:34" x14ac:dyDescent="0.3">
      <c r="A330" s="2">
        <v>328</v>
      </c>
      <c r="B330" s="2" t="s">
        <v>872</v>
      </c>
      <c r="C330" s="2" t="s">
        <v>873</v>
      </c>
      <c r="D330" s="2">
        <v>253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3">
        <v>6800000</v>
      </c>
      <c r="AG330" s="2" t="s">
        <v>874</v>
      </c>
      <c r="AH330" s="2" t="s">
        <v>36</v>
      </c>
    </row>
    <row r="331" spans="1:34" x14ac:dyDescent="0.3">
      <c r="A331" s="2">
        <v>329</v>
      </c>
      <c r="B331" s="2" t="s">
        <v>875</v>
      </c>
      <c r="C331" s="2" t="s">
        <v>876</v>
      </c>
      <c r="D331" s="2">
        <v>254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3">
        <v>5350000000</v>
      </c>
      <c r="AG331" s="2" t="s">
        <v>877</v>
      </c>
      <c r="AH331" s="2" t="s">
        <v>36</v>
      </c>
    </row>
    <row r="332" spans="1:34" x14ac:dyDescent="0.3">
      <c r="A332" s="2">
        <v>330</v>
      </c>
      <c r="B332" s="2" t="s">
        <v>878</v>
      </c>
      <c r="C332" s="2" t="s">
        <v>879</v>
      </c>
      <c r="D332" s="2">
        <v>255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3">
        <v>1400</v>
      </c>
      <c r="AG332" s="2" t="s">
        <v>880</v>
      </c>
      <c r="AH332" s="2" t="s">
        <v>36</v>
      </c>
    </row>
    <row r="333" spans="1:34" x14ac:dyDescent="0.3">
      <c r="A333" s="2">
        <v>331</v>
      </c>
      <c r="B333" s="2" t="s">
        <v>881</v>
      </c>
      <c r="C333" s="2" t="s">
        <v>823</v>
      </c>
      <c r="D333" s="2">
        <v>237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3">
        <v>16800</v>
      </c>
      <c r="AG333" s="2" t="s">
        <v>882</v>
      </c>
      <c r="AH333" s="2" t="s">
        <v>36</v>
      </c>
    </row>
    <row r="334" spans="1:34" x14ac:dyDescent="0.3">
      <c r="A334" s="2">
        <v>332</v>
      </c>
      <c r="B334" s="2" t="s">
        <v>883</v>
      </c>
      <c r="C334" s="2" t="s">
        <v>884</v>
      </c>
      <c r="D334" s="2">
        <v>256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3">
        <v>30000</v>
      </c>
      <c r="AG334" s="2" t="s">
        <v>885</v>
      </c>
      <c r="AH334" s="2" t="s">
        <v>32</v>
      </c>
    </row>
    <row r="335" spans="1:34" x14ac:dyDescent="0.3">
      <c r="A335" s="2">
        <v>333</v>
      </c>
      <c r="B335" s="2" t="s">
        <v>886</v>
      </c>
      <c r="C335" s="2" t="s">
        <v>884</v>
      </c>
      <c r="D335" s="2">
        <v>256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3">
        <v>500</v>
      </c>
      <c r="AG335" s="2" t="s">
        <v>887</v>
      </c>
      <c r="AH335" s="2" t="s">
        <v>36</v>
      </c>
    </row>
    <row r="336" spans="1:34" x14ac:dyDescent="0.3">
      <c r="A336" s="2">
        <v>334</v>
      </c>
      <c r="B336" s="2" t="s">
        <v>888</v>
      </c>
      <c r="C336" s="2" t="s">
        <v>828</v>
      </c>
      <c r="D336" s="2">
        <v>238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3">
        <v>1100</v>
      </c>
      <c r="AG336" s="2" t="s">
        <v>889</v>
      </c>
      <c r="AH336" s="2" t="s">
        <v>36</v>
      </c>
    </row>
    <row r="337" spans="1:34" x14ac:dyDescent="0.3">
      <c r="A337" s="2">
        <v>335</v>
      </c>
      <c r="B337" s="2" t="s">
        <v>890</v>
      </c>
      <c r="C337" s="2" t="s">
        <v>831</v>
      </c>
      <c r="D337" s="2">
        <v>239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3">
        <v>600</v>
      </c>
      <c r="AG337" s="2" t="s">
        <v>891</v>
      </c>
      <c r="AH337" s="2" t="s">
        <v>36</v>
      </c>
    </row>
    <row r="338" spans="1:34" x14ac:dyDescent="0.3">
      <c r="A338" s="2">
        <v>336</v>
      </c>
      <c r="B338" s="2" t="s">
        <v>892</v>
      </c>
      <c r="C338" s="2" t="s">
        <v>893</v>
      </c>
      <c r="D338" s="2">
        <v>257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3">
        <v>12000</v>
      </c>
      <c r="AG338" s="2" t="s">
        <v>894</v>
      </c>
      <c r="AH338" s="2" t="s">
        <v>36</v>
      </c>
    </row>
    <row r="339" spans="1:34" x14ac:dyDescent="0.3">
      <c r="A339" s="2">
        <v>337</v>
      </c>
      <c r="B339" s="2" t="s">
        <v>895</v>
      </c>
      <c r="C339" s="2" t="s">
        <v>896</v>
      </c>
      <c r="D339" s="2">
        <v>258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3">
        <v>13000</v>
      </c>
      <c r="AG339" s="2" t="s">
        <v>897</v>
      </c>
      <c r="AH339" s="2" t="s">
        <v>32</v>
      </c>
    </row>
    <row r="340" spans="1:34" x14ac:dyDescent="0.3">
      <c r="A340" s="2">
        <v>338</v>
      </c>
      <c r="B340" s="2" t="s">
        <v>898</v>
      </c>
      <c r="C340" s="2" t="s">
        <v>899</v>
      </c>
      <c r="D340" s="2">
        <v>259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3">
        <v>30000</v>
      </c>
      <c r="AG340" s="2" t="s">
        <v>900</v>
      </c>
      <c r="AH340" s="2" t="s">
        <v>36</v>
      </c>
    </row>
    <row r="341" spans="1:34" x14ac:dyDescent="0.3">
      <c r="A341" s="2">
        <v>339</v>
      </c>
      <c r="B341" s="2" t="s">
        <v>901</v>
      </c>
      <c r="C341" s="2" t="s">
        <v>902</v>
      </c>
      <c r="D341" s="2">
        <v>260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3">
        <v>2000</v>
      </c>
      <c r="AG341" s="2" t="s">
        <v>903</v>
      </c>
      <c r="AH341" s="2" t="s">
        <v>36</v>
      </c>
    </row>
    <row r="342" spans="1:34" x14ac:dyDescent="0.3">
      <c r="A342" s="2">
        <v>340</v>
      </c>
      <c r="B342" s="2" t="s">
        <v>904</v>
      </c>
      <c r="C342" s="2" t="s">
        <v>834</v>
      </c>
      <c r="D342" s="2">
        <v>240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3">
        <v>1500</v>
      </c>
      <c r="AG342" s="2" t="s">
        <v>905</v>
      </c>
      <c r="AH342" s="2" t="s">
        <v>36</v>
      </c>
    </row>
    <row r="343" spans="1:34" x14ac:dyDescent="0.3">
      <c r="A343" s="2">
        <v>341</v>
      </c>
      <c r="B343" s="2" t="s">
        <v>906</v>
      </c>
      <c r="C343" s="2" t="s">
        <v>907</v>
      </c>
      <c r="D343" s="2">
        <v>261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3">
        <v>24700</v>
      </c>
      <c r="AG343" s="2" t="s">
        <v>908</v>
      </c>
      <c r="AH343" s="2" t="s">
        <v>32</v>
      </c>
    </row>
    <row r="344" spans="1:34" x14ac:dyDescent="0.3">
      <c r="A344" s="2">
        <v>342</v>
      </c>
      <c r="B344" s="2" t="s">
        <v>909</v>
      </c>
      <c r="C344" s="2" t="s">
        <v>910</v>
      </c>
      <c r="D344" s="2">
        <v>262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3">
        <v>19500</v>
      </c>
      <c r="AG344" s="2" t="s">
        <v>911</v>
      </c>
      <c r="AH344" s="2" t="s">
        <v>36</v>
      </c>
    </row>
    <row r="345" spans="1:34" x14ac:dyDescent="0.3">
      <c r="A345" s="2">
        <v>343</v>
      </c>
      <c r="B345" s="2" t="s">
        <v>912</v>
      </c>
      <c r="C345" s="2" t="s">
        <v>913</v>
      </c>
      <c r="D345" s="2">
        <v>263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3">
        <v>98800</v>
      </c>
      <c r="AG345" s="2" t="s">
        <v>914</v>
      </c>
      <c r="AH345" s="2" t="s">
        <v>36</v>
      </c>
    </row>
    <row r="346" spans="1:34" x14ac:dyDescent="0.3">
      <c r="A346" s="2">
        <v>344</v>
      </c>
      <c r="B346" s="2" t="s">
        <v>915</v>
      </c>
      <c r="C346" s="2" t="s">
        <v>916</v>
      </c>
      <c r="D346" s="2">
        <v>264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3">
        <v>98800</v>
      </c>
      <c r="AG346" s="2" t="s">
        <v>917</v>
      </c>
      <c r="AH346" s="2" t="s">
        <v>36</v>
      </c>
    </row>
    <row r="347" spans="1:34" x14ac:dyDescent="0.3">
      <c r="A347" s="2">
        <v>345</v>
      </c>
      <c r="B347" s="2" t="s">
        <v>918</v>
      </c>
      <c r="C347" s="2" t="s">
        <v>919</v>
      </c>
      <c r="D347" s="2">
        <v>265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3">
        <v>74000</v>
      </c>
      <c r="AG347" s="2" t="s">
        <v>920</v>
      </c>
      <c r="AH347" s="2" t="s">
        <v>36</v>
      </c>
    </row>
    <row r="348" spans="1:34" x14ac:dyDescent="0.3">
      <c r="A348" s="2">
        <v>346</v>
      </c>
      <c r="B348" s="2" t="s">
        <v>921</v>
      </c>
      <c r="C348" s="2" t="s">
        <v>876</v>
      </c>
      <c r="D348" s="2">
        <v>254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3">
        <v>180000</v>
      </c>
      <c r="AG348" s="2" t="s">
        <v>922</v>
      </c>
      <c r="AH348" s="2" t="s">
        <v>36</v>
      </c>
    </row>
    <row r="349" spans="1:34" x14ac:dyDescent="0.3">
      <c r="A349" s="2">
        <v>347</v>
      </c>
      <c r="B349" s="2" t="s">
        <v>923</v>
      </c>
      <c r="C349" s="2" t="s">
        <v>924</v>
      </c>
      <c r="D349" s="2">
        <v>266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3">
        <v>310000</v>
      </c>
      <c r="AG349" s="2" t="s">
        <v>925</v>
      </c>
      <c r="AH349" s="2" t="s">
        <v>32</v>
      </c>
    </row>
    <row r="350" spans="1:34" x14ac:dyDescent="0.3">
      <c r="A350" s="2">
        <v>348</v>
      </c>
      <c r="B350" s="2" t="s">
        <v>926</v>
      </c>
      <c r="C350" s="2" t="s">
        <v>927</v>
      </c>
      <c r="D350" s="2">
        <v>267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3">
        <v>91000</v>
      </c>
      <c r="AG350" s="2" t="s">
        <v>928</v>
      </c>
      <c r="AH350" s="2" t="s">
        <v>36</v>
      </c>
    </row>
    <row r="351" spans="1:34" x14ac:dyDescent="0.3">
      <c r="A351" s="2">
        <v>349</v>
      </c>
      <c r="B351" s="2" t="s">
        <v>929</v>
      </c>
      <c r="C351" s="2" t="s">
        <v>930</v>
      </c>
      <c r="D351" s="2">
        <v>268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3">
        <v>1800000</v>
      </c>
      <c r="AG351" s="2" t="s">
        <v>931</v>
      </c>
      <c r="AH351" s="2" t="s">
        <v>36</v>
      </c>
    </row>
    <row r="352" spans="1:34" x14ac:dyDescent="0.3">
      <c r="A352" s="2">
        <v>350</v>
      </c>
      <c r="B352" s="2" t="s">
        <v>932</v>
      </c>
      <c r="C352" s="2" t="s">
        <v>837</v>
      </c>
      <c r="D352" s="2">
        <v>241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3">
        <v>50</v>
      </c>
      <c r="AG352" s="2" t="s">
        <v>933</v>
      </c>
      <c r="AH352" s="2" t="s">
        <v>36</v>
      </c>
    </row>
    <row r="353" spans="1:34" x14ac:dyDescent="0.3">
      <c r="A353" s="2">
        <v>351</v>
      </c>
      <c r="B353" s="2" t="s">
        <v>934</v>
      </c>
      <c r="C353" s="2" t="s">
        <v>840</v>
      </c>
      <c r="D353" s="2">
        <v>242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3">
        <v>38500</v>
      </c>
      <c r="AG353" s="2" t="s">
        <v>935</v>
      </c>
      <c r="AH353" s="2" t="s">
        <v>36</v>
      </c>
    </row>
    <row r="354" spans="1:34" x14ac:dyDescent="0.3">
      <c r="A354" s="2">
        <v>352</v>
      </c>
      <c r="B354" s="2" t="s">
        <v>936</v>
      </c>
      <c r="C354" s="2" t="s">
        <v>843</v>
      </c>
      <c r="D354" s="2">
        <v>243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3">
        <v>43000</v>
      </c>
      <c r="AG354" s="2" t="s">
        <v>937</v>
      </c>
      <c r="AH354" s="2" t="s">
        <v>36</v>
      </c>
    </row>
    <row r="355" spans="1:34" x14ac:dyDescent="0.3">
      <c r="A355" s="2">
        <v>353</v>
      </c>
      <c r="B355" s="2" t="s">
        <v>938</v>
      </c>
      <c r="C355" s="2" t="s">
        <v>846</v>
      </c>
      <c r="D355" s="2">
        <v>244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3">
        <v>220000</v>
      </c>
      <c r="AG355" s="2" t="s">
        <v>939</v>
      </c>
      <c r="AH355" s="2" t="s">
        <v>36</v>
      </c>
    </row>
    <row r="356" spans="1:34" x14ac:dyDescent="0.3">
      <c r="A356" s="2">
        <v>354</v>
      </c>
      <c r="B356" s="2" t="s">
        <v>940</v>
      </c>
      <c r="C356" s="2" t="s">
        <v>849</v>
      </c>
      <c r="D356" s="2">
        <v>245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3">
        <v>100000</v>
      </c>
      <c r="AG356" s="2" t="s">
        <v>941</v>
      </c>
      <c r="AH356" s="2" t="s">
        <v>36</v>
      </c>
    </row>
    <row r="357" spans="1:34" x14ac:dyDescent="0.3">
      <c r="A357" s="2">
        <v>355</v>
      </c>
      <c r="B357" s="2" t="s">
        <v>942</v>
      </c>
      <c r="C357" s="2" t="s">
        <v>852</v>
      </c>
      <c r="D357" s="2">
        <v>246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1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3">
        <v>150000</v>
      </c>
      <c r="AG357" s="2" t="s">
        <v>943</v>
      </c>
      <c r="AH357" s="2" t="s">
        <v>36</v>
      </c>
    </row>
    <row r="358" spans="1:34" x14ac:dyDescent="0.3">
      <c r="A358" s="2">
        <v>356</v>
      </c>
      <c r="B358" s="2" t="s">
        <v>944</v>
      </c>
      <c r="C358" s="2" t="s">
        <v>861</v>
      </c>
      <c r="D358" s="2">
        <v>249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3">
        <v>1300</v>
      </c>
      <c r="AG358" s="2" t="s">
        <v>945</v>
      </c>
      <c r="AH358" s="2" t="s">
        <v>32</v>
      </c>
    </row>
    <row r="359" spans="1:34" x14ac:dyDescent="0.3">
      <c r="A359" s="2">
        <v>357</v>
      </c>
      <c r="B359" s="2" t="s">
        <v>946</v>
      </c>
      <c r="C359" s="2" t="s">
        <v>864</v>
      </c>
      <c r="D359" s="2">
        <v>250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1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3">
        <v>3000</v>
      </c>
      <c r="AG359" s="2" t="s">
        <v>947</v>
      </c>
      <c r="AH359" s="2" t="s">
        <v>36</v>
      </c>
    </row>
    <row r="360" spans="1:34" x14ac:dyDescent="0.3">
      <c r="A360" s="2">
        <v>358</v>
      </c>
      <c r="B360" s="2" t="s">
        <v>948</v>
      </c>
      <c r="C360" s="2" t="s">
        <v>867</v>
      </c>
      <c r="D360" s="2">
        <v>251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3">
        <v>10000</v>
      </c>
      <c r="AG360" s="2" t="s">
        <v>949</v>
      </c>
      <c r="AH360" s="2" t="s">
        <v>36</v>
      </c>
    </row>
    <row r="361" spans="1:34" x14ac:dyDescent="0.3">
      <c r="A361" s="2">
        <v>359</v>
      </c>
      <c r="B361" s="2" t="s">
        <v>950</v>
      </c>
      <c r="C361" s="2" t="s">
        <v>870</v>
      </c>
      <c r="D361" s="2">
        <v>252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3">
        <v>1300</v>
      </c>
      <c r="AG361" s="2" t="s">
        <v>951</v>
      </c>
      <c r="AH361" s="2" t="s">
        <v>36</v>
      </c>
    </row>
    <row r="362" spans="1:34" x14ac:dyDescent="0.3">
      <c r="A362" s="2">
        <v>360</v>
      </c>
      <c r="B362" s="2" t="s">
        <v>952</v>
      </c>
      <c r="C362" s="2" t="s">
        <v>952</v>
      </c>
      <c r="D362" s="2">
        <v>269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3">
        <v>2.5</v>
      </c>
      <c r="AG362" s="2" t="s">
        <v>953</v>
      </c>
      <c r="AH362" s="2" t="s">
        <v>36</v>
      </c>
    </row>
    <row r="363" spans="1:34" x14ac:dyDescent="0.3">
      <c r="A363" s="2">
        <v>361</v>
      </c>
      <c r="B363" s="2" t="s">
        <v>954</v>
      </c>
      <c r="C363" s="2" t="s">
        <v>954</v>
      </c>
      <c r="D363" s="2">
        <v>270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1</v>
      </c>
      <c r="AB363" s="2">
        <v>0</v>
      </c>
      <c r="AC363" s="2">
        <v>0</v>
      </c>
      <c r="AD363" s="2">
        <v>0</v>
      </c>
      <c r="AE363" s="2">
        <v>0</v>
      </c>
      <c r="AF363" s="3">
        <v>2</v>
      </c>
      <c r="AG363" s="2" t="s">
        <v>955</v>
      </c>
      <c r="AH363" s="2" t="s">
        <v>36</v>
      </c>
    </row>
    <row r="364" spans="1:34" x14ac:dyDescent="0.3">
      <c r="A364" s="2">
        <v>362</v>
      </c>
      <c r="B364" s="2" t="s">
        <v>956</v>
      </c>
      <c r="C364" s="2" t="s">
        <v>957</v>
      </c>
      <c r="D364" s="2">
        <v>271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1</v>
      </c>
      <c r="AB364" s="2">
        <v>0</v>
      </c>
      <c r="AC364" s="2">
        <v>0</v>
      </c>
      <c r="AD364" s="2">
        <v>0</v>
      </c>
      <c r="AE364" s="2">
        <v>0</v>
      </c>
      <c r="AF364" s="3">
        <v>0.23</v>
      </c>
      <c r="AG364" s="2" t="s">
        <v>958</v>
      </c>
      <c r="AH364" s="2" t="s">
        <v>36</v>
      </c>
    </row>
    <row r="365" spans="1:34" x14ac:dyDescent="0.3">
      <c r="A365" s="2">
        <v>363</v>
      </c>
      <c r="B365" s="2" t="s">
        <v>959</v>
      </c>
      <c r="C365" s="2" t="s">
        <v>960</v>
      </c>
      <c r="D365" s="2">
        <v>272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1</v>
      </c>
      <c r="AB365" s="2">
        <v>0</v>
      </c>
      <c r="AC365" s="2">
        <v>0</v>
      </c>
      <c r="AD365" s="2">
        <v>0</v>
      </c>
      <c r="AE365" s="2">
        <v>0</v>
      </c>
      <c r="AF365" s="3">
        <v>1.2</v>
      </c>
      <c r="AG365" s="2" t="s">
        <v>961</v>
      </c>
      <c r="AH365" s="2" t="s">
        <v>36</v>
      </c>
    </row>
    <row r="366" spans="1:34" x14ac:dyDescent="0.3">
      <c r="A366" s="2">
        <v>364</v>
      </c>
      <c r="B366" s="2" t="s">
        <v>962</v>
      </c>
      <c r="C366" s="2" t="s">
        <v>962</v>
      </c>
      <c r="D366" s="2">
        <v>273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1</v>
      </c>
      <c r="AB366" s="2">
        <v>0</v>
      </c>
      <c r="AC366" s="2">
        <v>0</v>
      </c>
      <c r="AD366" s="2">
        <v>0</v>
      </c>
      <c r="AE366" s="2">
        <v>0</v>
      </c>
      <c r="AF366" s="3">
        <v>0.75</v>
      </c>
      <c r="AG366" s="2" t="s">
        <v>963</v>
      </c>
      <c r="AH366" s="2" t="s">
        <v>36</v>
      </c>
    </row>
    <row r="367" spans="1:34" x14ac:dyDescent="0.3">
      <c r="A367" s="2">
        <v>365</v>
      </c>
      <c r="B367" s="2" t="s">
        <v>964</v>
      </c>
      <c r="C367" s="2" t="s">
        <v>965</v>
      </c>
      <c r="D367" s="2">
        <v>274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3">
        <v>590</v>
      </c>
      <c r="AG367" s="2" t="s">
        <v>966</v>
      </c>
      <c r="AH367" s="2" t="s">
        <v>36</v>
      </c>
    </row>
    <row r="368" spans="1:34" x14ac:dyDescent="0.3">
      <c r="A368" s="2">
        <v>366</v>
      </c>
      <c r="B368" s="2" t="s">
        <v>967</v>
      </c>
      <c r="C368" s="2" t="s">
        <v>968</v>
      </c>
      <c r="D368" s="2">
        <v>275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1</v>
      </c>
      <c r="AB368" s="2">
        <v>0</v>
      </c>
      <c r="AC368" s="2">
        <v>0</v>
      </c>
      <c r="AD368" s="2">
        <v>0</v>
      </c>
      <c r="AE368" s="2">
        <v>0</v>
      </c>
      <c r="AF368" s="3">
        <v>0.75</v>
      </c>
      <c r="AG368" s="2" t="s">
        <v>969</v>
      </c>
      <c r="AH368" s="2" t="s">
        <v>36</v>
      </c>
    </row>
    <row r="369" spans="1:34" x14ac:dyDescent="0.3">
      <c r="A369" s="2">
        <v>367</v>
      </c>
      <c r="B369" s="2" t="s">
        <v>970</v>
      </c>
      <c r="C369" s="2" t="s">
        <v>971</v>
      </c>
      <c r="D369" s="2">
        <v>276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1</v>
      </c>
      <c r="AB369" s="2">
        <v>0</v>
      </c>
      <c r="AC369" s="2">
        <v>0</v>
      </c>
      <c r="AD369" s="2">
        <v>0</v>
      </c>
      <c r="AE369" s="2">
        <v>0</v>
      </c>
      <c r="AF369" s="3">
        <v>0.56999999999999995</v>
      </c>
      <c r="AG369" s="2" t="s">
        <v>972</v>
      </c>
      <c r="AH369" s="2" t="s">
        <v>36</v>
      </c>
    </row>
    <row r="370" spans="1:34" x14ac:dyDescent="0.3">
      <c r="A370" s="2">
        <v>368</v>
      </c>
      <c r="B370" s="2" t="s">
        <v>973</v>
      </c>
      <c r="C370" s="2" t="s">
        <v>973</v>
      </c>
      <c r="D370" s="2">
        <v>277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1</v>
      </c>
      <c r="AB370" s="2">
        <v>0</v>
      </c>
      <c r="AC370" s="2">
        <v>0</v>
      </c>
      <c r="AD370" s="2">
        <v>0</v>
      </c>
      <c r="AE370" s="2">
        <v>0</v>
      </c>
      <c r="AF370" s="3">
        <v>3</v>
      </c>
      <c r="AG370" s="2" t="s">
        <v>974</v>
      </c>
      <c r="AH370" s="2" t="s">
        <v>36</v>
      </c>
    </row>
    <row r="371" spans="1:34" x14ac:dyDescent="0.3">
      <c r="A371" s="2">
        <v>369</v>
      </c>
      <c r="B371" s="2" t="s">
        <v>975</v>
      </c>
      <c r="C371" s="2" t="s">
        <v>975</v>
      </c>
      <c r="D371" s="2">
        <v>278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1</v>
      </c>
      <c r="AB371" s="2">
        <v>0</v>
      </c>
      <c r="AC371" s="2">
        <v>0</v>
      </c>
      <c r="AD371" s="2">
        <v>0</v>
      </c>
      <c r="AE371" s="2">
        <v>0</v>
      </c>
      <c r="AF371" s="3">
        <v>0.14000000000000001</v>
      </c>
      <c r="AG371" s="2" t="s">
        <v>976</v>
      </c>
      <c r="AH371" s="2" t="s">
        <v>36</v>
      </c>
    </row>
    <row r="372" spans="1:34" x14ac:dyDescent="0.3">
      <c r="A372" s="2">
        <v>370</v>
      </c>
      <c r="B372" s="2" t="s">
        <v>977</v>
      </c>
      <c r="C372" s="2" t="s">
        <v>977</v>
      </c>
      <c r="D372" s="2">
        <v>279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1</v>
      </c>
      <c r="AB372" s="2">
        <v>0</v>
      </c>
      <c r="AC372" s="2">
        <v>0</v>
      </c>
      <c r="AD372" s="2">
        <v>0</v>
      </c>
      <c r="AE372" s="2">
        <v>0</v>
      </c>
      <c r="AF372" s="3">
        <v>0.2</v>
      </c>
      <c r="AG372" s="2" t="s">
        <v>978</v>
      </c>
      <c r="AH372" s="2" t="s">
        <v>32</v>
      </c>
    </row>
    <row r="373" spans="1:34" x14ac:dyDescent="0.3">
      <c r="A373" s="2">
        <v>371</v>
      </c>
      <c r="B373" s="2" t="s">
        <v>979</v>
      </c>
      <c r="C373" s="2" t="s">
        <v>979</v>
      </c>
      <c r="D373" s="2">
        <v>280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1</v>
      </c>
      <c r="AB373" s="2">
        <v>0</v>
      </c>
      <c r="AC373" s="2">
        <v>0</v>
      </c>
      <c r="AD373" s="2">
        <v>0</v>
      </c>
      <c r="AE373" s="2">
        <v>0</v>
      </c>
      <c r="AF373" s="3">
        <v>14</v>
      </c>
      <c r="AG373" s="2" t="s">
        <v>980</v>
      </c>
      <c r="AH373" s="2" t="s">
        <v>36</v>
      </c>
    </row>
    <row r="374" spans="1:34" x14ac:dyDescent="0.3">
      <c r="A374" s="2">
        <v>372</v>
      </c>
      <c r="B374" s="2" t="s">
        <v>981</v>
      </c>
      <c r="C374" s="2" t="s">
        <v>981</v>
      </c>
      <c r="D374" s="2">
        <v>281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1</v>
      </c>
      <c r="AB374" s="2">
        <v>0</v>
      </c>
      <c r="AC374" s="2">
        <v>0</v>
      </c>
      <c r="AD374" s="2">
        <v>0</v>
      </c>
      <c r="AE374" s="2">
        <v>0</v>
      </c>
      <c r="AF374" s="3">
        <v>14</v>
      </c>
      <c r="AG374" s="2" t="s">
        <v>982</v>
      </c>
      <c r="AH374" s="2" t="s">
        <v>36</v>
      </c>
    </row>
    <row r="375" spans="1:34" x14ac:dyDescent="0.3">
      <c r="A375" s="2">
        <v>373</v>
      </c>
      <c r="B375" s="2" t="s">
        <v>983</v>
      </c>
      <c r="C375" s="2" t="s">
        <v>983</v>
      </c>
      <c r="D375" s="2">
        <v>282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1</v>
      </c>
      <c r="AB375" s="2">
        <v>0</v>
      </c>
      <c r="AC375" s="2">
        <v>0</v>
      </c>
      <c r="AD375" s="2">
        <v>0</v>
      </c>
      <c r="AE375" s="2">
        <v>0</v>
      </c>
      <c r="AF375" s="3">
        <v>14</v>
      </c>
      <c r="AG375" s="2" t="s">
        <v>984</v>
      </c>
      <c r="AH375" s="2" t="s">
        <v>36</v>
      </c>
    </row>
    <row r="376" spans="1:34" x14ac:dyDescent="0.3">
      <c r="A376" s="2">
        <v>374</v>
      </c>
      <c r="B376" s="2" t="s">
        <v>985</v>
      </c>
      <c r="C376" s="2" t="s">
        <v>985</v>
      </c>
      <c r="D376" s="2">
        <v>283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  <c r="AD376" s="2">
        <v>0</v>
      </c>
      <c r="AE376" s="2">
        <v>0</v>
      </c>
      <c r="AF376" s="3">
        <v>140</v>
      </c>
      <c r="AG376" s="2" t="s">
        <v>986</v>
      </c>
      <c r="AH376" s="2" t="s">
        <v>36</v>
      </c>
    </row>
    <row r="377" spans="1:34" x14ac:dyDescent="0.3">
      <c r="A377" s="2">
        <v>375</v>
      </c>
      <c r="B377" s="2" t="s">
        <v>987</v>
      </c>
      <c r="C377" s="2" t="s">
        <v>987</v>
      </c>
      <c r="D377" s="2">
        <v>284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1</v>
      </c>
      <c r="AB377" s="2">
        <v>0</v>
      </c>
      <c r="AC377" s="2">
        <v>0</v>
      </c>
      <c r="AD377" s="2">
        <v>0</v>
      </c>
      <c r="AE377" s="2">
        <v>0</v>
      </c>
      <c r="AF377" s="3">
        <v>0.9</v>
      </c>
      <c r="AG377" s="2" t="s">
        <v>988</v>
      </c>
      <c r="AH377" s="2" t="s">
        <v>32</v>
      </c>
    </row>
    <row r="378" spans="1:34" x14ac:dyDescent="0.3">
      <c r="A378" s="2">
        <v>376</v>
      </c>
      <c r="B378" s="2" t="s">
        <v>989</v>
      </c>
      <c r="C378" s="2" t="s">
        <v>990</v>
      </c>
      <c r="D378" s="2">
        <v>285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3">
        <v>7.2</v>
      </c>
      <c r="AG378" s="2" t="s">
        <v>991</v>
      </c>
      <c r="AH378" s="2" t="s">
        <v>32</v>
      </c>
    </row>
    <row r="379" spans="1:34" x14ac:dyDescent="0.3">
      <c r="A379" s="2">
        <v>377</v>
      </c>
      <c r="B379" s="2" t="s">
        <v>992</v>
      </c>
      <c r="C379" s="2" t="s">
        <v>990</v>
      </c>
      <c r="D379" s="2">
        <v>285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1</v>
      </c>
      <c r="AB379" s="2">
        <v>0</v>
      </c>
      <c r="AC379" s="2">
        <v>0</v>
      </c>
      <c r="AD379" s="2">
        <v>0</v>
      </c>
      <c r="AE379" s="2">
        <v>0</v>
      </c>
      <c r="AF379" s="3">
        <v>9.6</v>
      </c>
      <c r="AG379" s="2" t="s">
        <v>993</v>
      </c>
      <c r="AH379" s="2" t="s">
        <v>36</v>
      </c>
    </row>
    <row r="380" spans="1:34" x14ac:dyDescent="0.3">
      <c r="A380" s="2">
        <v>378</v>
      </c>
      <c r="B380" s="2" t="s">
        <v>994</v>
      </c>
      <c r="C380" s="2" t="s">
        <v>994</v>
      </c>
      <c r="D380" s="2">
        <v>286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1</v>
      </c>
      <c r="AB380" s="2">
        <v>0</v>
      </c>
      <c r="AC380" s="2">
        <v>0</v>
      </c>
      <c r="AD380" s="2">
        <v>0</v>
      </c>
      <c r="AE380" s="2">
        <v>0</v>
      </c>
      <c r="AF380" s="3">
        <v>11</v>
      </c>
      <c r="AG380" s="2" t="s">
        <v>995</v>
      </c>
      <c r="AH380" s="2" t="s">
        <v>36</v>
      </c>
    </row>
    <row r="381" spans="1:34" x14ac:dyDescent="0.3">
      <c r="A381" s="2">
        <v>379</v>
      </c>
      <c r="B381" s="2" t="s">
        <v>996</v>
      </c>
      <c r="C381" s="2" t="s">
        <v>997</v>
      </c>
      <c r="D381" s="2">
        <v>287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1</v>
      </c>
      <c r="AB381" s="2">
        <v>0</v>
      </c>
      <c r="AC381" s="2">
        <v>0</v>
      </c>
      <c r="AD381" s="2">
        <v>0</v>
      </c>
      <c r="AE381" s="2">
        <v>0</v>
      </c>
      <c r="AF381" s="3">
        <v>10000</v>
      </c>
      <c r="AG381" s="2" t="s">
        <v>998</v>
      </c>
      <c r="AH381" s="2" t="s">
        <v>36</v>
      </c>
    </row>
    <row r="382" spans="1:34" x14ac:dyDescent="0.3">
      <c r="A382" s="2">
        <v>380</v>
      </c>
      <c r="B382" s="2" t="s">
        <v>999</v>
      </c>
      <c r="C382" s="2" t="s">
        <v>999</v>
      </c>
      <c r="D382" s="2">
        <v>288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1</v>
      </c>
      <c r="AB382" s="2">
        <v>0</v>
      </c>
      <c r="AC382" s="2">
        <v>0</v>
      </c>
      <c r="AD382" s="2">
        <v>0</v>
      </c>
      <c r="AE382" s="2">
        <v>0</v>
      </c>
      <c r="AF382" s="3">
        <v>1.1000000000000001</v>
      </c>
      <c r="AG382" s="2" t="s">
        <v>1000</v>
      </c>
      <c r="AH382" s="2" t="s">
        <v>36</v>
      </c>
    </row>
    <row r="383" spans="1:34" x14ac:dyDescent="0.3">
      <c r="A383" s="2">
        <v>381</v>
      </c>
      <c r="B383" s="2" t="s">
        <v>1001</v>
      </c>
      <c r="C383" s="2" t="s">
        <v>1001</v>
      </c>
      <c r="D383" s="2">
        <v>289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1</v>
      </c>
      <c r="AB383" s="2">
        <v>0</v>
      </c>
      <c r="AC383" s="2">
        <v>0</v>
      </c>
      <c r="AD383" s="2">
        <v>0</v>
      </c>
      <c r="AE383" s="2">
        <v>0</v>
      </c>
      <c r="AF383" s="3">
        <v>1100</v>
      </c>
      <c r="AG383" s="2" t="s">
        <v>1002</v>
      </c>
      <c r="AH383" s="2" t="s">
        <v>36</v>
      </c>
    </row>
    <row r="384" spans="1:34" x14ac:dyDescent="0.3">
      <c r="A384" s="2">
        <v>382</v>
      </c>
      <c r="B384" s="2" t="s">
        <v>1003</v>
      </c>
      <c r="C384" s="2" t="s">
        <v>1004</v>
      </c>
      <c r="D384" s="2">
        <v>290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1</v>
      </c>
      <c r="AB384" s="2">
        <v>0</v>
      </c>
      <c r="AC384" s="2">
        <v>0</v>
      </c>
      <c r="AD384" s="2">
        <v>0</v>
      </c>
      <c r="AE384" s="2">
        <v>0</v>
      </c>
      <c r="AF384" s="3">
        <v>2200</v>
      </c>
      <c r="AG384" s="2" t="s">
        <v>1005</v>
      </c>
      <c r="AH384" s="2" t="s">
        <v>36</v>
      </c>
    </row>
    <row r="385" spans="1:34" x14ac:dyDescent="0.3">
      <c r="A385" s="2">
        <v>383</v>
      </c>
      <c r="B385" s="2" t="s">
        <v>1006</v>
      </c>
      <c r="C385" s="2" t="s">
        <v>1007</v>
      </c>
      <c r="D385" s="2">
        <v>291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1</v>
      </c>
      <c r="AB385" s="2">
        <v>0</v>
      </c>
      <c r="AC385" s="2">
        <v>0</v>
      </c>
      <c r="AD385" s="2">
        <v>0</v>
      </c>
      <c r="AE385" s="2">
        <v>0</v>
      </c>
      <c r="AF385" s="3">
        <v>1.2</v>
      </c>
      <c r="AG385" s="2" t="s">
        <v>1008</v>
      </c>
      <c r="AH385" s="2" t="s">
        <v>36</v>
      </c>
    </row>
    <row r="386" spans="1:34" x14ac:dyDescent="0.3">
      <c r="A386" s="2">
        <v>384</v>
      </c>
      <c r="B386" s="2" t="s">
        <v>1009</v>
      </c>
      <c r="C386" s="2" t="s">
        <v>1010</v>
      </c>
      <c r="D386" s="2">
        <v>292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3">
        <v>0.05</v>
      </c>
      <c r="AG386" s="2" t="s">
        <v>1011</v>
      </c>
      <c r="AH386" s="2" t="s">
        <v>32</v>
      </c>
    </row>
    <row r="387" spans="1:34" x14ac:dyDescent="0.3">
      <c r="A387" s="2">
        <v>385</v>
      </c>
      <c r="B387" s="2" t="s">
        <v>1012</v>
      </c>
      <c r="C387" s="2" t="s">
        <v>1012</v>
      </c>
      <c r="D387" s="2">
        <v>293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3">
        <v>51</v>
      </c>
      <c r="AG387" s="2" t="s">
        <v>1013</v>
      </c>
      <c r="AH387" s="2" t="s">
        <v>32</v>
      </c>
    </row>
    <row r="388" spans="1:34" x14ac:dyDescent="0.3">
      <c r="A388" s="2">
        <v>386</v>
      </c>
      <c r="B388" s="2" t="s">
        <v>1014</v>
      </c>
      <c r="C388" s="2" t="s">
        <v>1014</v>
      </c>
      <c r="D388" s="2">
        <v>294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1</v>
      </c>
      <c r="AB388" s="2">
        <v>0</v>
      </c>
      <c r="AC388" s="2">
        <v>0</v>
      </c>
      <c r="AD388" s="2">
        <v>0</v>
      </c>
      <c r="AE388" s="2">
        <v>0</v>
      </c>
      <c r="AF388" s="3">
        <v>14</v>
      </c>
      <c r="AG388" s="2" t="s">
        <v>1015</v>
      </c>
      <c r="AH388" s="2" t="s">
        <v>36</v>
      </c>
    </row>
    <row r="389" spans="1:34" x14ac:dyDescent="0.3">
      <c r="A389" s="2">
        <v>387</v>
      </c>
      <c r="B389" s="2" t="s">
        <v>1016</v>
      </c>
      <c r="C389" s="2" t="s">
        <v>1016</v>
      </c>
      <c r="D389" s="2">
        <v>295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1</v>
      </c>
      <c r="AB389" s="2">
        <v>0</v>
      </c>
      <c r="AC389" s="2">
        <v>0</v>
      </c>
      <c r="AD389" s="2">
        <v>0</v>
      </c>
      <c r="AE389" s="2">
        <v>0</v>
      </c>
      <c r="AF389" s="3">
        <v>8</v>
      </c>
      <c r="AG389" s="2" t="s">
        <v>1017</v>
      </c>
      <c r="AH389" s="2" t="s">
        <v>36</v>
      </c>
    </row>
    <row r="390" spans="1:34" x14ac:dyDescent="0.3">
      <c r="A390" s="2">
        <v>388</v>
      </c>
      <c r="B390" s="2" t="s">
        <v>1018</v>
      </c>
      <c r="C390" s="2" t="s">
        <v>1019</v>
      </c>
      <c r="D390" s="2">
        <v>296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1</v>
      </c>
      <c r="AB390" s="2">
        <v>0</v>
      </c>
      <c r="AC390" s="2">
        <v>0</v>
      </c>
      <c r="AD390" s="2">
        <v>0</v>
      </c>
      <c r="AE390" s="2">
        <v>0</v>
      </c>
      <c r="AF390" s="3">
        <v>0.06</v>
      </c>
      <c r="AG390" s="2" t="s">
        <v>1020</v>
      </c>
      <c r="AH390" s="2" t="s">
        <v>36</v>
      </c>
    </row>
    <row r="391" spans="1:34" x14ac:dyDescent="0.3">
      <c r="A391" s="2">
        <v>389</v>
      </c>
      <c r="B391" s="2" t="s">
        <v>1021</v>
      </c>
      <c r="C391" s="2" t="s">
        <v>1022</v>
      </c>
      <c r="D391" s="2">
        <v>297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1</v>
      </c>
      <c r="AB391" s="2">
        <v>0</v>
      </c>
      <c r="AC391" s="2">
        <v>0</v>
      </c>
      <c r="AD391" s="2">
        <v>0</v>
      </c>
      <c r="AE391" s="2">
        <v>0</v>
      </c>
      <c r="AF391" s="3">
        <v>400</v>
      </c>
      <c r="AG391" s="2" t="s">
        <v>1023</v>
      </c>
      <c r="AH391" s="2" t="s">
        <v>36</v>
      </c>
    </row>
    <row r="392" spans="1:34" x14ac:dyDescent="0.3">
      <c r="A392" s="2">
        <v>390</v>
      </c>
      <c r="B392" s="2" t="s">
        <v>1024</v>
      </c>
      <c r="C392" s="2" t="s">
        <v>1025</v>
      </c>
      <c r="D392" s="2">
        <v>298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1</v>
      </c>
      <c r="AB392" s="2">
        <v>0</v>
      </c>
      <c r="AC392" s="2">
        <v>0</v>
      </c>
      <c r="AD392" s="2">
        <v>0</v>
      </c>
      <c r="AE392" s="2">
        <v>0</v>
      </c>
      <c r="AF392" s="3">
        <v>700</v>
      </c>
      <c r="AG392" s="2" t="s">
        <v>1026</v>
      </c>
      <c r="AH392" s="2" t="s">
        <v>36</v>
      </c>
    </row>
    <row r="393" spans="1:34" x14ac:dyDescent="0.3">
      <c r="A393" s="2">
        <v>391</v>
      </c>
      <c r="B393" s="2" t="s">
        <v>1027</v>
      </c>
      <c r="C393" s="2" t="s">
        <v>1027</v>
      </c>
      <c r="D393" s="2">
        <v>299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1</v>
      </c>
      <c r="AB393" s="2">
        <v>0</v>
      </c>
      <c r="AC393" s="2">
        <v>0</v>
      </c>
      <c r="AD393" s="2">
        <v>0</v>
      </c>
      <c r="AE393" s="2">
        <v>0</v>
      </c>
      <c r="AF393" s="3">
        <v>94</v>
      </c>
      <c r="AG393" s="2" t="s">
        <v>1028</v>
      </c>
      <c r="AH393" s="2" t="s">
        <v>36</v>
      </c>
    </row>
    <row r="394" spans="1:34" x14ac:dyDescent="0.3">
      <c r="A394" s="2">
        <v>392</v>
      </c>
      <c r="B394" s="2" t="s">
        <v>1029</v>
      </c>
      <c r="C394" s="2" t="s">
        <v>1029</v>
      </c>
      <c r="D394" s="2">
        <v>300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1</v>
      </c>
      <c r="AB394" s="2">
        <v>0</v>
      </c>
      <c r="AC394" s="2">
        <v>0</v>
      </c>
      <c r="AD394" s="2">
        <v>0</v>
      </c>
      <c r="AE394" s="2">
        <v>0</v>
      </c>
      <c r="AF394" s="3">
        <v>90</v>
      </c>
      <c r="AG394" s="2" t="s">
        <v>1030</v>
      </c>
      <c r="AH394" s="2" t="s">
        <v>36</v>
      </c>
    </row>
    <row r="395" spans="1:34" x14ac:dyDescent="0.3">
      <c r="A395" s="2">
        <v>393</v>
      </c>
      <c r="B395" s="2" t="s">
        <v>1031</v>
      </c>
      <c r="C395" s="2" t="s">
        <v>1031</v>
      </c>
      <c r="D395" s="2">
        <v>301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0</v>
      </c>
      <c r="AE395" s="2">
        <v>0</v>
      </c>
      <c r="AF395" s="3">
        <v>140</v>
      </c>
      <c r="AG395" s="2" t="s">
        <v>1032</v>
      </c>
      <c r="AH395" s="2" t="s">
        <v>32</v>
      </c>
    </row>
    <row r="396" spans="1:34" x14ac:dyDescent="0.3">
      <c r="A396" s="2">
        <v>394</v>
      </c>
      <c r="B396" s="2" t="s">
        <v>1033</v>
      </c>
      <c r="C396" s="2" t="s">
        <v>406</v>
      </c>
      <c r="D396" s="2">
        <v>129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1</v>
      </c>
      <c r="AB396" s="2">
        <v>0</v>
      </c>
      <c r="AC396" s="2">
        <v>0</v>
      </c>
      <c r="AD396" s="2">
        <v>0</v>
      </c>
      <c r="AE396" s="2">
        <v>0</v>
      </c>
      <c r="AF396" s="3">
        <v>60</v>
      </c>
      <c r="AG396" s="2" t="s">
        <v>1034</v>
      </c>
      <c r="AH396" s="2" t="s">
        <v>36</v>
      </c>
    </row>
    <row r="397" spans="1:34" x14ac:dyDescent="0.3">
      <c r="A397" s="2">
        <v>395</v>
      </c>
      <c r="B397" s="2" t="s">
        <v>1035</v>
      </c>
      <c r="C397" s="2" t="s">
        <v>1036</v>
      </c>
      <c r="D397" s="2">
        <v>302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1</v>
      </c>
      <c r="AB397" s="2">
        <v>0</v>
      </c>
      <c r="AC397" s="2">
        <v>0</v>
      </c>
      <c r="AD397" s="2">
        <v>0</v>
      </c>
      <c r="AE397" s="2">
        <v>0</v>
      </c>
      <c r="AF397" s="3">
        <v>290</v>
      </c>
      <c r="AG397" s="2" t="s">
        <v>1037</v>
      </c>
      <c r="AH397" s="2" t="s">
        <v>36</v>
      </c>
    </row>
    <row r="398" spans="1:34" x14ac:dyDescent="0.3">
      <c r="A398" s="2">
        <v>396</v>
      </c>
      <c r="B398" s="2" t="s">
        <v>1038</v>
      </c>
      <c r="C398" s="2" t="s">
        <v>409</v>
      </c>
      <c r="D398" s="2">
        <v>130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1</v>
      </c>
      <c r="AB398" s="2">
        <v>0</v>
      </c>
      <c r="AC398" s="2">
        <v>0</v>
      </c>
      <c r="AD398" s="2">
        <v>0</v>
      </c>
      <c r="AE398" s="2">
        <v>0</v>
      </c>
      <c r="AF398" s="3">
        <v>110</v>
      </c>
      <c r="AG398" s="2" t="s">
        <v>1039</v>
      </c>
      <c r="AH398" s="2" t="s">
        <v>36</v>
      </c>
    </row>
    <row r="399" spans="1:34" x14ac:dyDescent="0.3">
      <c r="A399" s="2">
        <v>397</v>
      </c>
      <c r="B399" s="2" t="s">
        <v>1040</v>
      </c>
      <c r="C399" s="2" t="s">
        <v>1041</v>
      </c>
      <c r="D399" s="2">
        <v>303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1</v>
      </c>
      <c r="AB399" s="2">
        <v>0</v>
      </c>
      <c r="AC399" s="2">
        <v>0</v>
      </c>
      <c r="AD399" s="2">
        <v>0</v>
      </c>
      <c r="AE399" s="2">
        <v>0</v>
      </c>
      <c r="AF399" s="3">
        <v>590</v>
      </c>
      <c r="AG399" s="2" t="s">
        <v>1042</v>
      </c>
      <c r="AH399" s="2" t="s">
        <v>36</v>
      </c>
    </row>
    <row r="400" spans="1:34" x14ac:dyDescent="0.3">
      <c r="A400" s="2">
        <v>398</v>
      </c>
      <c r="B400" s="2" t="s">
        <v>1043</v>
      </c>
      <c r="C400" s="2" t="s">
        <v>1043</v>
      </c>
      <c r="D400" s="2">
        <v>304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1</v>
      </c>
      <c r="AB400" s="2">
        <v>0</v>
      </c>
      <c r="AC400" s="2">
        <v>0</v>
      </c>
      <c r="AD400" s="2">
        <v>0</v>
      </c>
      <c r="AE400" s="2">
        <v>0</v>
      </c>
      <c r="AF400" s="3">
        <v>640</v>
      </c>
      <c r="AG400" s="2" t="s">
        <v>1044</v>
      </c>
      <c r="AH400" s="2" t="s">
        <v>36</v>
      </c>
    </row>
    <row r="401" spans="1:34" x14ac:dyDescent="0.3">
      <c r="A401" s="2">
        <v>399</v>
      </c>
      <c r="B401" s="2" t="s">
        <v>1045</v>
      </c>
      <c r="C401" s="2" t="s">
        <v>1045</v>
      </c>
      <c r="D401" s="2">
        <v>305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1</v>
      </c>
      <c r="AB401" s="2">
        <v>0</v>
      </c>
      <c r="AC401" s="2">
        <v>0</v>
      </c>
      <c r="AD401" s="2">
        <v>0</v>
      </c>
      <c r="AE401" s="2">
        <v>0</v>
      </c>
      <c r="AF401" s="3">
        <v>5.3</v>
      </c>
      <c r="AG401" s="2" t="s">
        <v>1046</v>
      </c>
      <c r="AH401" s="2" t="s">
        <v>36</v>
      </c>
    </row>
    <row r="402" spans="1:34" x14ac:dyDescent="0.3">
      <c r="A402" s="2">
        <v>400</v>
      </c>
      <c r="B402" s="2" t="s">
        <v>1047</v>
      </c>
      <c r="C402" s="2" t="s">
        <v>1047</v>
      </c>
      <c r="D402" s="2">
        <v>306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1</v>
      </c>
      <c r="AB402" s="2">
        <v>0</v>
      </c>
      <c r="AC402" s="2">
        <v>0</v>
      </c>
      <c r="AD402" s="2">
        <v>0</v>
      </c>
      <c r="AE402" s="2">
        <v>0</v>
      </c>
      <c r="AF402" s="3">
        <v>130000</v>
      </c>
      <c r="AG402" s="2" t="s">
        <v>1048</v>
      </c>
      <c r="AH402" s="2" t="s">
        <v>36</v>
      </c>
    </row>
    <row r="403" spans="1:34" x14ac:dyDescent="0.3">
      <c r="A403" s="2">
        <v>401</v>
      </c>
      <c r="B403" s="2" t="s">
        <v>1049</v>
      </c>
      <c r="C403" s="2" t="s">
        <v>1049</v>
      </c>
      <c r="D403" s="2">
        <v>307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0</v>
      </c>
      <c r="AF403" s="3">
        <v>89000</v>
      </c>
      <c r="AG403" s="2" t="s">
        <v>1050</v>
      </c>
      <c r="AH403" s="2" t="s">
        <v>36</v>
      </c>
    </row>
    <row r="404" spans="1:34" x14ac:dyDescent="0.3">
      <c r="A404" s="2">
        <v>402</v>
      </c>
      <c r="B404" s="2" t="s">
        <v>1051</v>
      </c>
      <c r="C404" s="2" t="s">
        <v>1051</v>
      </c>
      <c r="D404" s="2">
        <v>308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1</v>
      </c>
      <c r="AB404" s="2">
        <v>0</v>
      </c>
      <c r="AC404" s="2">
        <v>0</v>
      </c>
      <c r="AD404" s="2">
        <v>0</v>
      </c>
      <c r="AE404" s="2">
        <v>0</v>
      </c>
      <c r="AF404" s="3">
        <v>20000</v>
      </c>
      <c r="AG404" s="2" t="s">
        <v>1052</v>
      </c>
      <c r="AH404" s="2" t="s">
        <v>32</v>
      </c>
    </row>
    <row r="405" spans="1:34" x14ac:dyDescent="0.3">
      <c r="A405" s="2">
        <v>403</v>
      </c>
      <c r="B405" s="2" t="s">
        <v>1053</v>
      </c>
      <c r="C405" s="2" t="s">
        <v>1053</v>
      </c>
      <c r="D405" s="2">
        <v>309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1</v>
      </c>
      <c r="AB405" s="2">
        <v>0</v>
      </c>
      <c r="AC405" s="2">
        <v>0</v>
      </c>
      <c r="AD405" s="2">
        <v>0</v>
      </c>
      <c r="AE405" s="2">
        <v>0</v>
      </c>
      <c r="AF405" s="3">
        <v>290</v>
      </c>
      <c r="AG405" s="2" t="s">
        <v>1037</v>
      </c>
      <c r="AH405" s="2" t="s">
        <v>36</v>
      </c>
    </row>
    <row r="406" spans="1:34" x14ac:dyDescent="0.3">
      <c r="A406" s="2">
        <v>404</v>
      </c>
      <c r="B406" s="2" t="s">
        <v>1054</v>
      </c>
      <c r="C406" s="2" t="s">
        <v>1055</v>
      </c>
      <c r="D406" s="2">
        <v>310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1</v>
      </c>
      <c r="AB406" s="2">
        <v>0</v>
      </c>
      <c r="AC406" s="2">
        <v>0</v>
      </c>
      <c r="AD406" s="2">
        <v>0</v>
      </c>
      <c r="AE406" s="2">
        <v>0</v>
      </c>
      <c r="AF406" s="3">
        <v>270</v>
      </c>
      <c r="AG406" s="2" t="s">
        <v>1056</v>
      </c>
      <c r="AH406" s="2" t="s">
        <v>32</v>
      </c>
    </row>
    <row r="407" spans="1:34" x14ac:dyDescent="0.3">
      <c r="A407" s="2">
        <v>405</v>
      </c>
      <c r="B407" s="2" t="s">
        <v>1057</v>
      </c>
      <c r="C407" s="2" t="s">
        <v>1058</v>
      </c>
      <c r="D407" s="2">
        <v>311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1</v>
      </c>
      <c r="AB407" s="2">
        <v>0</v>
      </c>
      <c r="AC407" s="2">
        <v>0</v>
      </c>
      <c r="AD407" s="2">
        <v>0</v>
      </c>
      <c r="AE407" s="2">
        <v>0</v>
      </c>
      <c r="AF407" s="3">
        <v>3600</v>
      </c>
      <c r="AG407" s="2" t="s">
        <v>1059</v>
      </c>
      <c r="AH407" s="2" t="s">
        <v>36</v>
      </c>
    </row>
    <row r="408" spans="1:34" x14ac:dyDescent="0.3">
      <c r="A408" s="2">
        <v>406</v>
      </c>
      <c r="B408" s="2" t="s">
        <v>1060</v>
      </c>
      <c r="C408" s="2" t="s">
        <v>1061</v>
      </c>
      <c r="D408" s="2">
        <v>312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1</v>
      </c>
      <c r="AB408" s="2">
        <v>0</v>
      </c>
      <c r="AC408" s="2">
        <v>0</v>
      </c>
      <c r="AD408" s="2">
        <v>0</v>
      </c>
      <c r="AE408" s="2">
        <v>0</v>
      </c>
      <c r="AF408" s="3">
        <v>11.7</v>
      </c>
      <c r="AG408" s="2" t="s">
        <v>1062</v>
      </c>
      <c r="AH408" s="2" t="s">
        <v>32</v>
      </c>
    </row>
    <row r="409" spans="1:34" x14ac:dyDescent="0.3">
      <c r="A409" s="2">
        <v>407</v>
      </c>
      <c r="B409" s="2" t="s">
        <v>1063</v>
      </c>
      <c r="C409" s="2" t="s">
        <v>1064</v>
      </c>
      <c r="D409" s="2">
        <v>313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1</v>
      </c>
      <c r="AB409" s="2">
        <v>0</v>
      </c>
      <c r="AC409" s="2">
        <v>0</v>
      </c>
      <c r="AD409" s="2">
        <v>0</v>
      </c>
      <c r="AE409" s="2">
        <v>0</v>
      </c>
      <c r="AF409" s="3">
        <v>12.2</v>
      </c>
      <c r="AG409" s="2" t="s">
        <v>1065</v>
      </c>
      <c r="AH409" s="2" t="s">
        <v>36</v>
      </c>
    </row>
    <row r="410" spans="1:34" x14ac:dyDescent="0.3">
      <c r="A410" s="2">
        <v>408</v>
      </c>
      <c r="B410" s="2" t="s">
        <v>1066</v>
      </c>
      <c r="C410" s="2" t="s">
        <v>427</v>
      </c>
      <c r="D410" s="2">
        <v>136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1</v>
      </c>
      <c r="AB410" s="2">
        <v>0</v>
      </c>
      <c r="AC410" s="2">
        <v>0</v>
      </c>
      <c r="AD410" s="2">
        <v>0</v>
      </c>
      <c r="AE410" s="2">
        <v>0</v>
      </c>
      <c r="AF410" s="3">
        <v>330</v>
      </c>
      <c r="AG410" s="2" t="s">
        <v>1067</v>
      </c>
      <c r="AH410" s="2" t="s">
        <v>36</v>
      </c>
    </row>
    <row r="411" spans="1:34" x14ac:dyDescent="0.3">
      <c r="A411" s="2">
        <v>409</v>
      </c>
      <c r="B411" s="2" t="s">
        <v>1068</v>
      </c>
      <c r="C411" s="2" t="s">
        <v>1069</v>
      </c>
      <c r="D411" s="2">
        <v>314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1</v>
      </c>
      <c r="AB411" s="2">
        <v>0</v>
      </c>
      <c r="AC411" s="2">
        <v>0</v>
      </c>
      <c r="AD411" s="2">
        <v>0</v>
      </c>
      <c r="AE411" s="2">
        <v>0</v>
      </c>
      <c r="AF411" s="3">
        <v>200000</v>
      </c>
      <c r="AG411" s="2" t="s">
        <v>1070</v>
      </c>
      <c r="AH411" s="2" t="s">
        <v>36</v>
      </c>
    </row>
    <row r="412" spans="1:34" x14ac:dyDescent="0.3">
      <c r="A412" s="2">
        <v>410</v>
      </c>
      <c r="B412" s="2" t="s">
        <v>1071</v>
      </c>
      <c r="C412" s="2" t="s">
        <v>1072</v>
      </c>
      <c r="D412" s="2">
        <v>315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1</v>
      </c>
      <c r="AB412" s="2">
        <v>0</v>
      </c>
      <c r="AC412" s="2">
        <v>0</v>
      </c>
      <c r="AD412" s="2">
        <v>0</v>
      </c>
      <c r="AE412" s="2">
        <v>0</v>
      </c>
      <c r="AF412" s="3">
        <v>320</v>
      </c>
      <c r="AG412" s="2" t="s">
        <v>1073</v>
      </c>
      <c r="AH412" s="2" t="s">
        <v>36</v>
      </c>
    </row>
    <row r="413" spans="1:34" x14ac:dyDescent="0.3">
      <c r="A413" s="2">
        <v>411</v>
      </c>
      <c r="B413" s="2" t="s">
        <v>1074</v>
      </c>
      <c r="C413" s="2" t="s">
        <v>1075</v>
      </c>
      <c r="D413" s="2">
        <v>316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1</v>
      </c>
      <c r="AB413" s="2">
        <v>0</v>
      </c>
      <c r="AC413" s="2">
        <v>0</v>
      </c>
      <c r="AD413" s="2">
        <v>0</v>
      </c>
      <c r="AE413" s="2">
        <v>0</v>
      </c>
      <c r="AF413" s="3">
        <v>100000</v>
      </c>
      <c r="AG413" s="2" t="s">
        <v>1076</v>
      </c>
      <c r="AH413" s="2" t="s">
        <v>36</v>
      </c>
    </row>
    <row r="414" spans="1:34" x14ac:dyDescent="0.3">
      <c r="A414" s="2">
        <v>412</v>
      </c>
      <c r="B414" s="2" t="s">
        <v>1077</v>
      </c>
      <c r="C414" s="2" t="s">
        <v>1077</v>
      </c>
      <c r="D414" s="2">
        <v>317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1</v>
      </c>
      <c r="AB414" s="2">
        <v>0</v>
      </c>
      <c r="AC414" s="2">
        <v>0</v>
      </c>
      <c r="AD414" s="2">
        <v>0</v>
      </c>
      <c r="AE414" s="2">
        <v>0</v>
      </c>
      <c r="AF414" s="3">
        <v>0.02</v>
      </c>
      <c r="AG414" s="2" t="s">
        <v>1078</v>
      </c>
      <c r="AH414" s="2" t="s">
        <v>32</v>
      </c>
    </row>
    <row r="415" spans="1:34" x14ac:dyDescent="0.3">
      <c r="A415" s="2">
        <v>413</v>
      </c>
      <c r="B415" s="2" t="s">
        <v>1079</v>
      </c>
      <c r="C415" s="2" t="s">
        <v>1079</v>
      </c>
      <c r="D415" s="2">
        <v>318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1</v>
      </c>
      <c r="AB415" s="2">
        <v>0</v>
      </c>
      <c r="AC415" s="2">
        <v>0</v>
      </c>
      <c r="AD415" s="2">
        <v>0</v>
      </c>
      <c r="AE415" s="2">
        <v>0</v>
      </c>
      <c r="AF415" s="3">
        <v>0.06</v>
      </c>
      <c r="AG415" s="2" t="s">
        <v>1080</v>
      </c>
      <c r="AH415" s="2" t="s">
        <v>36</v>
      </c>
    </row>
    <row r="416" spans="1:34" x14ac:dyDescent="0.3">
      <c r="A416" s="2">
        <v>414</v>
      </c>
      <c r="B416" s="2" t="s">
        <v>1081</v>
      </c>
      <c r="C416" s="2" t="s">
        <v>1081</v>
      </c>
      <c r="D416" s="2">
        <v>319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1</v>
      </c>
      <c r="AB416" s="2">
        <v>0</v>
      </c>
      <c r="AC416" s="2">
        <v>0</v>
      </c>
      <c r="AD416" s="2">
        <v>0</v>
      </c>
      <c r="AE416" s="2">
        <v>0</v>
      </c>
      <c r="AF416" s="3">
        <v>940000</v>
      </c>
      <c r="AG416" s="2" t="s">
        <v>1082</v>
      </c>
      <c r="AH416" s="2" t="s">
        <v>36</v>
      </c>
    </row>
    <row r="417" spans="1:34" x14ac:dyDescent="0.3">
      <c r="A417" s="2">
        <v>415</v>
      </c>
      <c r="B417" s="2" t="s">
        <v>1083</v>
      </c>
      <c r="C417" s="2" t="s">
        <v>1083</v>
      </c>
      <c r="D417" s="2">
        <v>320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1</v>
      </c>
      <c r="AB417" s="2">
        <v>0</v>
      </c>
      <c r="AC417" s="2">
        <v>0</v>
      </c>
      <c r="AD417" s="2">
        <v>0</v>
      </c>
      <c r="AE417" s="2">
        <v>0</v>
      </c>
      <c r="AF417" s="3">
        <v>280000</v>
      </c>
      <c r="AG417" s="2" t="s">
        <v>1084</v>
      </c>
      <c r="AH417" s="2" t="s">
        <v>36</v>
      </c>
    </row>
    <row r="418" spans="1:34" x14ac:dyDescent="0.3">
      <c r="A418" s="2">
        <v>416</v>
      </c>
      <c r="B418" s="2" t="s">
        <v>1085</v>
      </c>
      <c r="C418" s="2" t="s">
        <v>484</v>
      </c>
      <c r="D418" s="2">
        <v>155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1</v>
      </c>
      <c r="AB418" s="2">
        <v>0</v>
      </c>
      <c r="AC418" s="2">
        <v>0</v>
      </c>
      <c r="AD418" s="2">
        <v>0</v>
      </c>
      <c r="AE418" s="2">
        <v>0</v>
      </c>
      <c r="AF418" s="3">
        <v>77000</v>
      </c>
      <c r="AG418" s="2" t="s">
        <v>1086</v>
      </c>
      <c r="AH418" s="2" t="s">
        <v>32</v>
      </c>
    </row>
    <row r="419" spans="1:34" x14ac:dyDescent="0.3">
      <c r="A419" s="2">
        <v>417</v>
      </c>
      <c r="B419" s="2" t="s">
        <v>1087</v>
      </c>
      <c r="C419" s="2" t="s">
        <v>617</v>
      </c>
      <c r="D419" s="2">
        <v>182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1</v>
      </c>
      <c r="AB419" s="2">
        <v>0</v>
      </c>
      <c r="AC419" s="2">
        <v>0</v>
      </c>
      <c r="AD419" s="2">
        <v>0</v>
      </c>
      <c r="AE419" s="2">
        <v>0</v>
      </c>
      <c r="AF419" s="3">
        <v>74000</v>
      </c>
      <c r="AG419" s="2" t="s">
        <v>1088</v>
      </c>
      <c r="AH419" s="2" t="s">
        <v>36</v>
      </c>
    </row>
    <row r="420" spans="1:34" x14ac:dyDescent="0.3">
      <c r="A420" s="2">
        <v>418</v>
      </c>
      <c r="B420" s="2" t="s">
        <v>1089</v>
      </c>
      <c r="C420" s="2" t="s">
        <v>617</v>
      </c>
      <c r="D420" s="2">
        <v>182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1</v>
      </c>
      <c r="AB420" s="2">
        <v>0</v>
      </c>
      <c r="AC420" s="2">
        <v>0</v>
      </c>
      <c r="AD420" s="2">
        <v>0</v>
      </c>
      <c r="AE420" s="2">
        <v>0</v>
      </c>
      <c r="AF420" s="3">
        <v>33000</v>
      </c>
      <c r="AG420" s="2" t="s">
        <v>1090</v>
      </c>
      <c r="AH420" s="2" t="s">
        <v>36</v>
      </c>
    </row>
    <row r="421" spans="1:34" x14ac:dyDescent="0.3">
      <c r="A421" s="2">
        <v>419</v>
      </c>
      <c r="B421" s="2" t="s">
        <v>1091</v>
      </c>
      <c r="C421" s="2" t="s">
        <v>1092</v>
      </c>
      <c r="D421" s="2">
        <v>321</v>
      </c>
      <c r="E421" s="2">
        <v>0</v>
      </c>
      <c r="F421" s="2">
        <v>0</v>
      </c>
      <c r="G421" s="2">
        <v>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</v>
      </c>
      <c r="AC421" s="2">
        <v>0</v>
      </c>
      <c r="AD421" s="2">
        <v>0</v>
      </c>
      <c r="AE421" s="2">
        <v>0</v>
      </c>
      <c r="AF421" s="3">
        <v>2400000</v>
      </c>
      <c r="AG421" s="2" t="s">
        <v>1093</v>
      </c>
      <c r="AH421" s="2" t="s">
        <v>32</v>
      </c>
    </row>
    <row r="422" spans="1:34" x14ac:dyDescent="0.3">
      <c r="A422" s="2">
        <v>420</v>
      </c>
      <c r="B422" s="2" t="s">
        <v>1094</v>
      </c>
      <c r="C422" s="2" t="s">
        <v>1092</v>
      </c>
      <c r="D422" s="2">
        <v>321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1</v>
      </c>
      <c r="AC422" s="2">
        <v>0</v>
      </c>
      <c r="AD422" s="2">
        <v>0</v>
      </c>
      <c r="AE422" s="2">
        <v>0</v>
      </c>
      <c r="AF422" s="3">
        <v>42000</v>
      </c>
      <c r="AG422" s="2" t="s">
        <v>1095</v>
      </c>
      <c r="AH422" s="2" t="s">
        <v>36</v>
      </c>
    </row>
    <row r="423" spans="1:34" x14ac:dyDescent="0.3">
      <c r="A423" s="2">
        <v>421</v>
      </c>
      <c r="B423" s="2" t="s">
        <v>1096</v>
      </c>
      <c r="C423" s="2" t="s">
        <v>1097</v>
      </c>
      <c r="D423" s="2">
        <v>322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1</v>
      </c>
      <c r="AC423" s="2">
        <v>0</v>
      </c>
      <c r="AD423" s="2">
        <v>0</v>
      </c>
      <c r="AE423" s="2">
        <v>0</v>
      </c>
      <c r="AF423" s="3">
        <v>4000000</v>
      </c>
      <c r="AG423" s="2" t="s">
        <v>1098</v>
      </c>
      <c r="AH423" s="2" t="s">
        <v>32</v>
      </c>
    </row>
    <row r="424" spans="1:34" x14ac:dyDescent="0.3">
      <c r="A424" s="2">
        <v>422</v>
      </c>
      <c r="B424" s="2" t="s">
        <v>1099</v>
      </c>
      <c r="C424" s="2" t="s">
        <v>1097</v>
      </c>
      <c r="D424" s="2">
        <v>322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3">
        <v>20000</v>
      </c>
      <c r="AG424" s="2" t="s">
        <v>1100</v>
      </c>
      <c r="AH424" s="2" t="s">
        <v>36</v>
      </c>
    </row>
    <row r="425" spans="1:34" x14ac:dyDescent="0.3">
      <c r="A425" s="2">
        <v>423</v>
      </c>
      <c r="B425" s="2" t="s">
        <v>1101</v>
      </c>
      <c r="C425" s="2" t="s">
        <v>495</v>
      </c>
      <c r="D425" s="2">
        <v>158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1</v>
      </c>
      <c r="AD425" s="2">
        <v>0</v>
      </c>
      <c r="AE425" s="2">
        <v>0</v>
      </c>
      <c r="AF425" s="3">
        <v>330000</v>
      </c>
      <c r="AG425" s="2" t="s">
        <v>1102</v>
      </c>
      <c r="AH425" s="2" t="s">
        <v>36</v>
      </c>
    </row>
    <row r="426" spans="1:34" x14ac:dyDescent="0.3">
      <c r="A426" s="2">
        <v>424</v>
      </c>
      <c r="B426" s="2" t="s">
        <v>1103</v>
      </c>
      <c r="C426" s="2" t="s">
        <v>1104</v>
      </c>
      <c r="D426" s="2">
        <v>323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1</v>
      </c>
      <c r="AD426" s="2">
        <v>0</v>
      </c>
      <c r="AE426" s="2">
        <v>0</v>
      </c>
      <c r="AF426" s="3">
        <v>4000000</v>
      </c>
      <c r="AG426" s="2" t="s">
        <v>1105</v>
      </c>
      <c r="AH426" s="2" t="s">
        <v>36</v>
      </c>
    </row>
    <row r="427" spans="1:34" x14ac:dyDescent="0.3">
      <c r="A427" s="2">
        <v>425</v>
      </c>
      <c r="B427" s="2" t="s">
        <v>1106</v>
      </c>
      <c r="C427" s="2" t="s">
        <v>1107</v>
      </c>
      <c r="D427" s="2">
        <v>324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1</v>
      </c>
      <c r="AD427" s="2">
        <v>0</v>
      </c>
      <c r="AE427" s="2">
        <v>0</v>
      </c>
      <c r="AF427" s="3">
        <v>500</v>
      </c>
      <c r="AG427" s="2" t="s">
        <v>1108</v>
      </c>
      <c r="AH427" s="2" t="s">
        <v>36</v>
      </c>
    </row>
    <row r="428" spans="1:34" x14ac:dyDescent="0.3">
      <c r="A428" s="2">
        <v>426</v>
      </c>
      <c r="B428" s="2" t="s">
        <v>1109</v>
      </c>
      <c r="C428" s="2" t="s">
        <v>1110</v>
      </c>
      <c r="D428" s="2">
        <v>325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1</v>
      </c>
      <c r="AD428" s="2">
        <v>0</v>
      </c>
      <c r="AE428" s="2">
        <v>0</v>
      </c>
      <c r="AF428" s="3">
        <v>4800</v>
      </c>
      <c r="AG428" s="2" t="s">
        <v>1111</v>
      </c>
      <c r="AH428" s="2" t="s">
        <v>36</v>
      </c>
    </row>
    <row r="429" spans="1:34" x14ac:dyDescent="0.3">
      <c r="A429" s="2">
        <v>427</v>
      </c>
      <c r="B429" s="2" t="s">
        <v>1112</v>
      </c>
      <c r="C429" s="2" t="s">
        <v>1110</v>
      </c>
      <c r="D429" s="2">
        <v>325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3">
        <v>4800</v>
      </c>
      <c r="AG429" s="2" t="s">
        <v>1113</v>
      </c>
      <c r="AH429" s="2" t="s">
        <v>36</v>
      </c>
    </row>
    <row r="430" spans="1:34" x14ac:dyDescent="0.3">
      <c r="A430" s="2">
        <v>428</v>
      </c>
      <c r="B430" s="2" t="s">
        <v>1114</v>
      </c>
      <c r="C430" s="2" t="s">
        <v>1115</v>
      </c>
      <c r="D430" s="2">
        <v>326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</v>
      </c>
      <c r="AD430" s="2">
        <v>0</v>
      </c>
      <c r="AE430" s="2">
        <v>0</v>
      </c>
      <c r="AF430" s="3">
        <v>620</v>
      </c>
      <c r="AG430" s="2" t="s">
        <v>1116</v>
      </c>
      <c r="AH430" s="2" t="s">
        <v>32</v>
      </c>
    </row>
    <row r="431" spans="1:34" x14ac:dyDescent="0.3">
      <c r="A431" s="2">
        <v>429</v>
      </c>
      <c r="B431" s="2" t="s">
        <v>1117</v>
      </c>
      <c r="C431" s="2" t="s">
        <v>1118</v>
      </c>
      <c r="D431" s="2">
        <v>327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0</v>
      </c>
      <c r="AF431" s="3">
        <v>210000</v>
      </c>
      <c r="AG431" s="2" t="s">
        <v>1119</v>
      </c>
      <c r="AH431" s="2" t="s">
        <v>36</v>
      </c>
    </row>
    <row r="432" spans="1:34" x14ac:dyDescent="0.3">
      <c r="A432" s="2">
        <v>430</v>
      </c>
      <c r="B432" s="2" t="s">
        <v>1120</v>
      </c>
      <c r="C432" s="2" t="s">
        <v>1120</v>
      </c>
      <c r="D432" s="2">
        <v>328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1</v>
      </c>
      <c r="AD432" s="2">
        <v>0</v>
      </c>
      <c r="AE432" s="2">
        <v>0</v>
      </c>
      <c r="AF432" s="3">
        <v>170000</v>
      </c>
      <c r="AG432" s="2" t="s">
        <v>1121</v>
      </c>
      <c r="AH432" s="2" t="s">
        <v>36</v>
      </c>
    </row>
    <row r="433" spans="1:34" x14ac:dyDescent="0.3">
      <c r="A433" s="2">
        <v>431</v>
      </c>
      <c r="B433" s="2" t="s">
        <v>1122</v>
      </c>
      <c r="C433" s="2" t="s">
        <v>1122</v>
      </c>
      <c r="D433" s="2">
        <v>329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1</v>
      </c>
      <c r="AE433" s="2">
        <v>0</v>
      </c>
      <c r="AF433" s="3">
        <v>8</v>
      </c>
      <c r="AG433" s="2" t="s">
        <v>1123</v>
      </c>
      <c r="AH433" s="2" t="s">
        <v>36</v>
      </c>
    </row>
    <row r="434" spans="1:34" x14ac:dyDescent="0.3">
      <c r="A434" s="2">
        <v>432</v>
      </c>
      <c r="B434" s="2" t="s">
        <v>1124</v>
      </c>
      <c r="C434" s="2" t="s">
        <v>391</v>
      </c>
      <c r="D434" s="2">
        <v>124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1</v>
      </c>
      <c r="AE434" s="2">
        <v>0</v>
      </c>
      <c r="AF434" s="3">
        <v>94</v>
      </c>
      <c r="AG434" s="2" t="s">
        <v>1125</v>
      </c>
      <c r="AH434" s="2" t="s">
        <v>32</v>
      </c>
    </row>
    <row r="435" spans="1:34" x14ac:dyDescent="0.3">
      <c r="A435" s="2">
        <v>433</v>
      </c>
      <c r="B435" s="2" t="s">
        <v>1126</v>
      </c>
      <c r="C435" s="2" t="s">
        <v>1127</v>
      </c>
      <c r="D435" s="2">
        <v>330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1</v>
      </c>
      <c r="AF435" s="3">
        <v>3.0000000000000001E-5</v>
      </c>
      <c r="AG435" s="2" t="s">
        <v>1128</v>
      </c>
      <c r="AH435" s="2" t="s">
        <v>36</v>
      </c>
    </row>
    <row r="436" spans="1:34" x14ac:dyDescent="0.3">
      <c r="A436" s="2">
        <v>434</v>
      </c>
      <c r="B436" s="2" t="s">
        <v>1129</v>
      </c>
      <c r="C436" s="2" t="s">
        <v>1127</v>
      </c>
      <c r="D436" s="2">
        <v>330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1</v>
      </c>
      <c r="AF436" s="3">
        <v>3.0000000000000001E-5</v>
      </c>
      <c r="AG436" s="2" t="s">
        <v>1130</v>
      </c>
      <c r="AH436" s="2" t="s">
        <v>36</v>
      </c>
    </row>
    <row r="437" spans="1:34" x14ac:dyDescent="0.3">
      <c r="A437" s="2">
        <v>435</v>
      </c>
      <c r="B437" s="2" t="s">
        <v>1131</v>
      </c>
      <c r="C437" s="2" t="s">
        <v>1131</v>
      </c>
      <c r="D437" s="2">
        <v>331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1</v>
      </c>
      <c r="AF437" s="3">
        <v>3.2000000000000001E-2</v>
      </c>
      <c r="AG437" s="2" t="s">
        <v>1132</v>
      </c>
      <c r="AH437" s="2" t="s">
        <v>36</v>
      </c>
    </row>
    <row r="438" spans="1:34" x14ac:dyDescent="0.3">
      <c r="A438" s="2">
        <v>436</v>
      </c>
      <c r="B438" s="2" t="s">
        <v>1133</v>
      </c>
      <c r="C438" s="2" t="s">
        <v>1133</v>
      </c>
      <c r="D438" s="2">
        <v>332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1</v>
      </c>
      <c r="AF438" s="3">
        <v>0.02</v>
      </c>
      <c r="AG438" s="2" t="s">
        <v>1134</v>
      </c>
      <c r="AH438" s="2" t="s">
        <v>36</v>
      </c>
    </row>
    <row r="439" spans="1:34" x14ac:dyDescent="0.3">
      <c r="A439" s="2">
        <v>437</v>
      </c>
      <c r="B439" s="2" t="s">
        <v>1135</v>
      </c>
      <c r="C439" s="2" t="s">
        <v>1135</v>
      </c>
      <c r="D439" s="2">
        <v>333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1</v>
      </c>
      <c r="AF439" s="3">
        <v>0.6</v>
      </c>
      <c r="AG439" s="2" t="s">
        <v>1136</v>
      </c>
      <c r="AH439" s="2" t="s">
        <v>36</v>
      </c>
    </row>
    <row r="440" spans="1:34" x14ac:dyDescent="0.3">
      <c r="A440" s="2">
        <v>438</v>
      </c>
      <c r="B440" s="2" t="s">
        <v>1137</v>
      </c>
      <c r="C440" s="2" t="s">
        <v>1137</v>
      </c>
      <c r="D440" s="2">
        <v>334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1</v>
      </c>
      <c r="AF440" s="3">
        <v>0.7</v>
      </c>
      <c r="AG440" s="2" t="s">
        <v>1138</v>
      </c>
      <c r="AH440" s="2" t="s">
        <v>36</v>
      </c>
    </row>
    <row r="441" spans="1:34" x14ac:dyDescent="0.3">
      <c r="A441" s="2">
        <v>439</v>
      </c>
      <c r="B441" s="2" t="s">
        <v>1139</v>
      </c>
      <c r="C441" s="2" t="s">
        <v>1140</v>
      </c>
      <c r="D441" s="2">
        <v>335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1</v>
      </c>
      <c r="AF441" s="3">
        <v>6.0000000000000001E-3</v>
      </c>
      <c r="AG441" s="2" t="s">
        <v>1141</v>
      </c>
      <c r="AH441" s="2" t="s">
        <v>36</v>
      </c>
    </row>
    <row r="442" spans="1:34" x14ac:dyDescent="0.3">
      <c r="A442" s="2">
        <v>440</v>
      </c>
      <c r="B442" s="2" t="s">
        <v>1142</v>
      </c>
      <c r="C442" s="2" t="s">
        <v>1140</v>
      </c>
      <c r="D442" s="2">
        <v>335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1</v>
      </c>
      <c r="AF442" s="3">
        <v>6.0000000000000001E-3</v>
      </c>
      <c r="AG442" s="2" t="s">
        <v>1143</v>
      </c>
      <c r="AH442" s="2" t="s">
        <v>32</v>
      </c>
    </row>
    <row r="443" spans="1:34" x14ac:dyDescent="0.3">
      <c r="A443" s="2">
        <v>441</v>
      </c>
      <c r="B443" s="2" t="s">
        <v>1144</v>
      </c>
      <c r="C443" s="2" t="s">
        <v>1145</v>
      </c>
      <c r="D443" s="2">
        <v>336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1</v>
      </c>
      <c r="AF443" s="3">
        <v>5.0000000000000001E-3</v>
      </c>
      <c r="AG443" s="2" t="s">
        <v>1146</v>
      </c>
      <c r="AH443" s="2" t="s">
        <v>36</v>
      </c>
    </row>
    <row r="444" spans="1:34" x14ac:dyDescent="0.3">
      <c r="A444" s="2">
        <v>442</v>
      </c>
      <c r="B444" s="2" t="s">
        <v>1147</v>
      </c>
      <c r="C444" s="2" t="s">
        <v>1147</v>
      </c>
      <c r="D444" s="2">
        <v>337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1</v>
      </c>
      <c r="AF444" s="3">
        <v>0.1</v>
      </c>
      <c r="AG444" s="2" t="s">
        <v>1148</v>
      </c>
      <c r="AH444" s="2" t="s">
        <v>36</v>
      </c>
    </row>
    <row r="445" spans="1:34" x14ac:dyDescent="0.3">
      <c r="A445" s="2">
        <v>443</v>
      </c>
      <c r="B445" s="2" t="s">
        <v>1149</v>
      </c>
      <c r="C445" s="2" t="s">
        <v>1149</v>
      </c>
      <c r="D445" s="2">
        <v>338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1</v>
      </c>
      <c r="AF445" s="3">
        <v>2</v>
      </c>
      <c r="AG445" s="2" t="s">
        <v>1150</v>
      </c>
      <c r="AH445" s="2" t="s">
        <v>36</v>
      </c>
    </row>
    <row r="446" spans="1:34" x14ac:dyDescent="0.3">
      <c r="A446" s="2">
        <v>444</v>
      </c>
      <c r="B446" s="2" t="s">
        <v>1151</v>
      </c>
      <c r="C446" s="2" t="s">
        <v>1151</v>
      </c>
      <c r="D446" s="2">
        <v>339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1</v>
      </c>
      <c r="AF446" s="3">
        <v>0.1</v>
      </c>
      <c r="AG446" s="2" t="s">
        <v>1152</v>
      </c>
      <c r="AH446" s="2" t="s">
        <v>36</v>
      </c>
    </row>
    <row r="447" spans="1:34" x14ac:dyDescent="0.3">
      <c r="A447" s="2">
        <v>445</v>
      </c>
      <c r="B447" s="2" t="s">
        <v>1153</v>
      </c>
      <c r="C447" s="2" t="s">
        <v>1154</v>
      </c>
      <c r="D447" s="2">
        <v>340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1</v>
      </c>
      <c r="AF447" s="3">
        <v>1.1000000000000001</v>
      </c>
      <c r="AG447" s="2" t="s">
        <v>1155</v>
      </c>
      <c r="AH447" s="2" t="s">
        <v>36</v>
      </c>
    </row>
    <row r="448" spans="1:34" x14ac:dyDescent="0.3">
      <c r="A448" s="2">
        <v>446</v>
      </c>
      <c r="B448" s="2" t="s">
        <v>1156</v>
      </c>
      <c r="C448" s="2" t="s">
        <v>1157</v>
      </c>
      <c r="D448" s="2">
        <v>341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1</v>
      </c>
      <c r="AF448" s="3">
        <v>0.06</v>
      </c>
      <c r="AG448" s="2" t="s">
        <v>1158</v>
      </c>
      <c r="AH448" s="2" t="s">
        <v>36</v>
      </c>
    </row>
    <row r="449" spans="1:34" x14ac:dyDescent="0.3">
      <c r="A449" s="2">
        <v>447</v>
      </c>
      <c r="B449" s="2" t="s">
        <v>1159</v>
      </c>
      <c r="C449" s="2" t="s">
        <v>1159</v>
      </c>
      <c r="D449" s="2">
        <v>342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1</v>
      </c>
      <c r="AF449" s="3">
        <v>0.32</v>
      </c>
      <c r="AG449" s="2" t="s">
        <v>1160</v>
      </c>
      <c r="AH449" s="2" t="s">
        <v>36</v>
      </c>
    </row>
    <row r="450" spans="1:34" x14ac:dyDescent="0.3">
      <c r="A450" s="2">
        <v>448</v>
      </c>
      <c r="B450" s="2" t="s">
        <v>1161</v>
      </c>
      <c r="C450" s="2" t="s">
        <v>1162</v>
      </c>
      <c r="D450" s="2">
        <v>343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1</v>
      </c>
      <c r="AF450" s="3">
        <v>0.41</v>
      </c>
      <c r="AG450" s="2" t="s">
        <v>1163</v>
      </c>
      <c r="AH450" s="2" t="s">
        <v>32</v>
      </c>
    </row>
    <row r="451" spans="1:34" x14ac:dyDescent="0.3">
      <c r="A451" s="2">
        <v>449</v>
      </c>
      <c r="B451" s="2" t="s">
        <v>1164</v>
      </c>
      <c r="C451" s="2" t="s">
        <v>1165</v>
      </c>
      <c r="D451" s="2">
        <v>344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1</v>
      </c>
      <c r="AF451" s="3">
        <v>0.1</v>
      </c>
      <c r="AG451" s="2" t="s">
        <v>1166</v>
      </c>
      <c r="AH451" s="2" t="s">
        <v>36</v>
      </c>
    </row>
    <row r="452" spans="1:34" x14ac:dyDescent="0.3">
      <c r="A452" s="2">
        <v>450</v>
      </c>
      <c r="B452" s="2" t="s">
        <v>1167</v>
      </c>
      <c r="C452" s="2" t="s">
        <v>1168</v>
      </c>
      <c r="D452" s="2">
        <v>345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1</v>
      </c>
      <c r="AF452" s="3">
        <v>46</v>
      </c>
      <c r="AG452" s="2" t="s">
        <v>1169</v>
      </c>
      <c r="AH452" s="2" t="s">
        <v>36</v>
      </c>
    </row>
    <row r="453" spans="1:34" x14ac:dyDescent="0.3">
      <c r="A453" s="2">
        <v>451</v>
      </c>
      <c r="B453" s="2" t="s">
        <v>1170</v>
      </c>
      <c r="C453" s="2" t="s">
        <v>1170</v>
      </c>
      <c r="D453" s="2">
        <v>346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1</v>
      </c>
      <c r="AF453" s="3">
        <v>0.1</v>
      </c>
      <c r="AG453" s="2" t="s">
        <v>1171</v>
      </c>
      <c r="AH453" s="2" t="s">
        <v>36</v>
      </c>
    </row>
    <row r="454" spans="1:34" x14ac:dyDescent="0.3">
      <c r="A454" s="2">
        <v>452</v>
      </c>
      <c r="B454" s="2" t="s">
        <v>1172</v>
      </c>
      <c r="C454" s="2" t="s">
        <v>1173</v>
      </c>
      <c r="D454" s="2">
        <v>347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1</v>
      </c>
      <c r="AF454" s="3">
        <v>8.0000000000000002E-3</v>
      </c>
      <c r="AG454" s="2" t="s">
        <v>1174</v>
      </c>
      <c r="AH454" s="2" t="s">
        <v>36</v>
      </c>
    </row>
    <row r="455" spans="1:34" x14ac:dyDescent="0.3">
      <c r="A455" s="2">
        <v>453</v>
      </c>
      <c r="B455" s="2" t="s">
        <v>1175</v>
      </c>
      <c r="C455" s="2" t="s">
        <v>1173</v>
      </c>
      <c r="D455" s="2">
        <v>347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1</v>
      </c>
      <c r="AF455" s="3">
        <v>8.0000000000000002E-3</v>
      </c>
      <c r="AG455" s="2" t="s">
        <v>1176</v>
      </c>
      <c r="AH455" s="2" t="s">
        <v>36</v>
      </c>
    </row>
    <row r="456" spans="1:34" x14ac:dyDescent="0.3">
      <c r="A456" s="2">
        <v>454</v>
      </c>
      <c r="B456" s="2" t="s">
        <v>1177</v>
      </c>
      <c r="C456" s="2" t="s">
        <v>1178</v>
      </c>
      <c r="D456" s="2">
        <v>348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1</v>
      </c>
      <c r="AF456" s="3">
        <v>1.9</v>
      </c>
      <c r="AG456" s="2" t="s">
        <v>1179</v>
      </c>
      <c r="AH456" s="2" t="s">
        <v>36</v>
      </c>
    </row>
    <row r="457" spans="1:34" x14ac:dyDescent="0.3">
      <c r="A457" s="2">
        <v>455</v>
      </c>
      <c r="B457" s="2" t="s">
        <v>1180</v>
      </c>
      <c r="C457" s="2" t="s">
        <v>1178</v>
      </c>
      <c r="D457" s="2">
        <v>348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1</v>
      </c>
      <c r="AF457" s="3">
        <v>0.17</v>
      </c>
      <c r="AG457" s="2" t="s">
        <v>1181</v>
      </c>
      <c r="AH457" s="2" t="s">
        <v>36</v>
      </c>
    </row>
    <row r="458" spans="1:34" x14ac:dyDescent="0.3">
      <c r="A458" s="2">
        <v>456</v>
      </c>
      <c r="B458" s="2" t="s">
        <v>1182</v>
      </c>
      <c r="C458" s="2" t="s">
        <v>1183</v>
      </c>
      <c r="D458" s="2">
        <v>349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1</v>
      </c>
      <c r="AF458" s="3">
        <v>7</v>
      </c>
      <c r="AG458" s="2" t="s">
        <v>1184</v>
      </c>
      <c r="AH458" s="2" t="s">
        <v>32</v>
      </c>
    </row>
    <row r="459" spans="1:34" x14ac:dyDescent="0.3">
      <c r="A459" s="2">
        <v>457</v>
      </c>
      <c r="B459" s="2" t="s">
        <v>1185</v>
      </c>
      <c r="C459" s="2" t="s">
        <v>1183</v>
      </c>
      <c r="D459" s="2">
        <v>349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1</v>
      </c>
      <c r="AF459" s="3">
        <v>4</v>
      </c>
      <c r="AG459" s="2" t="s">
        <v>1186</v>
      </c>
      <c r="AH459" s="2" t="s">
        <v>32</v>
      </c>
    </row>
    <row r="460" spans="1:34" x14ac:dyDescent="0.3">
      <c r="A460" s="2">
        <v>458</v>
      </c>
      <c r="B460" s="2" t="s">
        <v>1187</v>
      </c>
      <c r="C460" s="2" t="s">
        <v>1187</v>
      </c>
      <c r="D460" s="2">
        <v>350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1</v>
      </c>
      <c r="AF460" s="3">
        <v>0.02</v>
      </c>
      <c r="AG460" s="2" t="s">
        <v>1188</v>
      </c>
      <c r="AH460" s="2" t="s">
        <v>36</v>
      </c>
    </row>
    <row r="461" spans="1:34" x14ac:dyDescent="0.3">
      <c r="A461" s="2">
        <v>459</v>
      </c>
      <c r="B461" s="2" t="s">
        <v>1189</v>
      </c>
      <c r="C461" s="2" t="s">
        <v>1189</v>
      </c>
      <c r="D461" s="2">
        <v>351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1</v>
      </c>
      <c r="AF461" s="3">
        <v>0.35</v>
      </c>
      <c r="AG461" s="2" t="s">
        <v>1190</v>
      </c>
      <c r="AH461" s="2" t="s">
        <v>36</v>
      </c>
    </row>
    <row r="462" spans="1:34" x14ac:dyDescent="0.3">
      <c r="A462" s="2">
        <v>460</v>
      </c>
      <c r="B462" s="2" t="s">
        <v>1191</v>
      </c>
      <c r="C462" s="2" t="s">
        <v>1191</v>
      </c>
      <c r="D462" s="2">
        <v>352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1</v>
      </c>
      <c r="AF462" s="3">
        <v>3.4</v>
      </c>
      <c r="AG462" s="2" t="s">
        <v>1192</v>
      </c>
      <c r="AH462" s="2" t="s">
        <v>36</v>
      </c>
    </row>
    <row r="463" spans="1:34" x14ac:dyDescent="0.3">
      <c r="A463" s="2">
        <v>461</v>
      </c>
      <c r="B463" s="2" t="s">
        <v>1193</v>
      </c>
      <c r="C463" s="2" t="s">
        <v>1193</v>
      </c>
      <c r="D463" s="2">
        <v>353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1</v>
      </c>
      <c r="AF463" s="3">
        <v>8</v>
      </c>
      <c r="AG463" s="2" t="s">
        <v>1194</v>
      </c>
      <c r="AH463" s="2" t="s">
        <v>32</v>
      </c>
    </row>
    <row r="464" spans="1:34" x14ac:dyDescent="0.3">
      <c r="A464" s="2">
        <v>462</v>
      </c>
      <c r="B464" s="2" t="s">
        <v>1195</v>
      </c>
      <c r="C464" s="2" t="s">
        <v>1196</v>
      </c>
      <c r="D464" s="2">
        <v>354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1</v>
      </c>
      <c r="AF464" s="3">
        <v>0.8</v>
      </c>
      <c r="AG464" s="2" t="s">
        <v>1197</v>
      </c>
      <c r="AH464" s="2" t="s">
        <v>36</v>
      </c>
    </row>
    <row r="465" spans="1:34" x14ac:dyDescent="0.3">
      <c r="A465" s="2">
        <v>463</v>
      </c>
      <c r="B465" s="2" t="s">
        <v>1198</v>
      </c>
      <c r="C465" s="2" t="s">
        <v>1199</v>
      </c>
      <c r="D465" s="2">
        <v>355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1</v>
      </c>
      <c r="AF465" s="3">
        <v>0.04</v>
      </c>
      <c r="AG465" s="2" t="s">
        <v>1200</v>
      </c>
      <c r="AH465" s="2" t="s">
        <v>32</v>
      </c>
    </row>
    <row r="466" spans="1:34" x14ac:dyDescent="0.3">
      <c r="A466" s="2">
        <v>464</v>
      </c>
      <c r="B466" s="2" t="s">
        <v>1201</v>
      </c>
      <c r="C466" s="2" t="s">
        <v>1201</v>
      </c>
      <c r="D466" s="2">
        <v>356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1</v>
      </c>
      <c r="AF466" s="3">
        <v>0.02</v>
      </c>
      <c r="AG466" s="2" t="s">
        <v>1202</v>
      </c>
      <c r="AH466" s="2" t="s">
        <v>36</v>
      </c>
    </row>
    <row r="467" spans="1:34" x14ac:dyDescent="0.3">
      <c r="A467" s="2">
        <v>465</v>
      </c>
      <c r="B467" s="2" t="s">
        <v>1203</v>
      </c>
      <c r="C467" s="2" t="s">
        <v>1204</v>
      </c>
      <c r="D467" s="2">
        <v>357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1</v>
      </c>
      <c r="AF467" s="3">
        <v>2E-3</v>
      </c>
      <c r="AG467" s="2" t="s">
        <v>1205</v>
      </c>
      <c r="AH467" s="2" t="s">
        <v>36</v>
      </c>
    </row>
    <row r="468" spans="1:34" x14ac:dyDescent="0.3">
      <c r="A468" s="2">
        <v>466</v>
      </c>
      <c r="B468" s="2" t="s">
        <v>1206</v>
      </c>
      <c r="C468" s="2" t="s">
        <v>1204</v>
      </c>
      <c r="D468" s="2">
        <v>357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1</v>
      </c>
      <c r="AF468" s="3">
        <v>1E-3</v>
      </c>
      <c r="AG468" s="2" t="s">
        <v>1207</v>
      </c>
      <c r="AH468" s="2" t="s">
        <v>36</v>
      </c>
    </row>
    <row r="469" spans="1:34" x14ac:dyDescent="0.3">
      <c r="A469" s="2">
        <v>467</v>
      </c>
      <c r="B469" s="2" t="s">
        <v>1208</v>
      </c>
      <c r="C469" s="2" t="s">
        <v>1209</v>
      </c>
      <c r="D469" s="2">
        <v>358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1</v>
      </c>
      <c r="AF469" s="3">
        <v>2.5</v>
      </c>
      <c r="AG469" s="2" t="s">
        <v>1210</v>
      </c>
      <c r="AH469" s="2" t="s">
        <v>36</v>
      </c>
    </row>
    <row r="470" spans="1:34" x14ac:dyDescent="0.3">
      <c r="A470" s="2">
        <v>468</v>
      </c>
      <c r="B470" s="2" t="s">
        <v>1211</v>
      </c>
      <c r="C470" s="2" t="s">
        <v>1212</v>
      </c>
      <c r="D470" s="2">
        <v>359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1</v>
      </c>
      <c r="AF470" s="3">
        <v>3.6999999999999998E-2</v>
      </c>
      <c r="AG470" s="2" t="s">
        <v>1213</v>
      </c>
      <c r="AH470" s="2" t="s">
        <v>32</v>
      </c>
    </row>
    <row r="471" spans="1:34" x14ac:dyDescent="0.3">
      <c r="A471" s="2">
        <v>469</v>
      </c>
      <c r="B471" s="2" t="s">
        <v>1214</v>
      </c>
      <c r="C471" s="2" t="s">
        <v>1215</v>
      </c>
      <c r="D471" s="2">
        <v>360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1</v>
      </c>
      <c r="AF471" s="3">
        <v>1.9</v>
      </c>
      <c r="AG471" s="2" t="s">
        <v>1216</v>
      </c>
      <c r="AH471" s="2" t="s">
        <v>32</v>
      </c>
    </row>
    <row r="472" spans="1:34" x14ac:dyDescent="0.3">
      <c r="A472" s="2">
        <v>470</v>
      </c>
      <c r="B472" s="2" t="s">
        <v>1217</v>
      </c>
      <c r="C472" s="2" t="s">
        <v>1218</v>
      </c>
      <c r="D472" s="2">
        <v>361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1</v>
      </c>
      <c r="AF472" s="3">
        <v>1E-3</v>
      </c>
      <c r="AG472" s="2" t="s">
        <v>1219</v>
      </c>
      <c r="AH472" s="2" t="s">
        <v>36</v>
      </c>
    </row>
    <row r="473" spans="1:34" x14ac:dyDescent="0.3">
      <c r="A473" s="2">
        <v>471</v>
      </c>
      <c r="B473" s="2" t="s">
        <v>1220</v>
      </c>
      <c r="C473" s="2" t="s">
        <v>1218</v>
      </c>
      <c r="D473" s="2">
        <v>361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1</v>
      </c>
      <c r="AF473" s="3">
        <v>4.0000000000000002E-4</v>
      </c>
      <c r="AG473" s="2" t="s">
        <v>1221</v>
      </c>
      <c r="AH473" s="2" t="s">
        <v>36</v>
      </c>
    </row>
    <row r="474" spans="1:34" x14ac:dyDescent="0.3">
      <c r="A474" s="2">
        <v>472</v>
      </c>
      <c r="B474" s="2" t="s">
        <v>1222</v>
      </c>
      <c r="C474" s="2" t="s">
        <v>1222</v>
      </c>
      <c r="D474" s="2">
        <v>362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1</v>
      </c>
      <c r="AF474" s="3">
        <v>0.03</v>
      </c>
      <c r="AG474" s="2" t="s">
        <v>1223</v>
      </c>
      <c r="AH474" s="2" t="s">
        <v>32</v>
      </c>
    </row>
    <row r="475" spans="1:34" x14ac:dyDescent="0.3">
      <c r="A475" s="2">
        <v>473</v>
      </c>
      <c r="B475" s="2" t="s">
        <v>1224</v>
      </c>
      <c r="C475" s="2" t="s">
        <v>1225</v>
      </c>
      <c r="D475" s="2">
        <v>363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1</v>
      </c>
      <c r="AF475" s="3">
        <v>0.03</v>
      </c>
      <c r="AG475" s="2" t="s">
        <v>1226</v>
      </c>
      <c r="AH475" s="2" t="s">
        <v>32</v>
      </c>
    </row>
    <row r="476" spans="1:34" x14ac:dyDescent="0.3">
      <c r="A476" s="2">
        <v>474</v>
      </c>
      <c r="B476" s="2" t="s">
        <v>1227</v>
      </c>
      <c r="C476" s="2" t="s">
        <v>1225</v>
      </c>
      <c r="D476" s="2">
        <v>363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1</v>
      </c>
      <c r="AF476" s="3">
        <v>3</v>
      </c>
      <c r="AG476" s="2" t="s">
        <v>1228</v>
      </c>
      <c r="AH476" s="2" t="s">
        <v>36</v>
      </c>
    </row>
    <row r="477" spans="1:34" x14ac:dyDescent="0.3">
      <c r="A477" s="2">
        <v>475</v>
      </c>
      <c r="B477" s="2" t="s">
        <v>1229</v>
      </c>
      <c r="C477" s="2" t="s">
        <v>1229</v>
      </c>
      <c r="D477" s="2">
        <v>364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1</v>
      </c>
      <c r="AF477" s="3">
        <v>0.03</v>
      </c>
      <c r="AG477" s="2" t="s">
        <v>1230</v>
      </c>
      <c r="AH477" s="2" t="s">
        <v>36</v>
      </c>
    </row>
    <row r="478" spans="1:34" x14ac:dyDescent="0.3">
      <c r="A478" s="2">
        <v>476</v>
      </c>
      <c r="B478" s="2" t="s">
        <v>1231</v>
      </c>
      <c r="C478" s="2" t="s">
        <v>1231</v>
      </c>
      <c r="D478" s="2">
        <v>365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1</v>
      </c>
      <c r="AF478" s="3">
        <v>6.1</v>
      </c>
      <c r="AG478" s="2" t="s">
        <v>1232</v>
      </c>
      <c r="AH478" s="2" t="s">
        <v>36</v>
      </c>
    </row>
    <row r="479" spans="1:34" x14ac:dyDescent="0.3">
      <c r="A479" s="2">
        <v>477</v>
      </c>
      <c r="B479" s="2" t="s">
        <v>1233</v>
      </c>
      <c r="C479" s="2" t="s">
        <v>1233</v>
      </c>
      <c r="D479" s="2">
        <v>366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1</v>
      </c>
      <c r="AF479" s="3">
        <v>10</v>
      </c>
      <c r="AG479" s="2" t="s">
        <v>1234</v>
      </c>
      <c r="AH479" s="2" t="s">
        <v>36</v>
      </c>
    </row>
    <row r="480" spans="1:34" ht="42" customHeight="1" x14ac:dyDescent="0.3">
      <c r="A480" s="19" t="s">
        <v>1235</v>
      </c>
      <c r="B480" s="19"/>
      <c r="C480" s="4"/>
      <c r="D480" s="4"/>
      <c r="AF480" s="4"/>
    </row>
  </sheetData>
  <mergeCells count="8">
    <mergeCell ref="AF1:AF2"/>
    <mergeCell ref="AG1:AG2"/>
    <mergeCell ref="AH1:AH2"/>
    <mergeCell ref="E1:AE1"/>
    <mergeCell ref="A480:B480"/>
    <mergeCell ref="A1:A2"/>
    <mergeCell ref="B1:B2"/>
    <mergeCell ref="C1:D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 data</vt:lpstr>
      <vt:lpstr>Dataset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wangyan</dc:creator>
  <cp:lastModifiedBy>Yan Wang</cp:lastModifiedBy>
  <dcterms:created xsi:type="dcterms:W3CDTF">2023-05-12T11:15:00Z</dcterms:created>
  <dcterms:modified xsi:type="dcterms:W3CDTF">2026-09-04T00:37:25Z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